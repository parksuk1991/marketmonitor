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News Monitor" sheetId="1" state="visible" r:id="rId1"/>
    <sheet xmlns:r="http://schemas.openxmlformats.org/officeDocument/2006/relationships" name="Sentiment Trend" sheetId="2" state="visible" r:id="rId2"/>
  </sheets>
  <definedNames>
    <definedName name="_xlnm._FilterDatabase" localSheetId="0" hidden="1">'Daily News Monitor'!$A$1:$K$1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0563C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yahoo.com/news/most-meta-staff-5-less-225305201.html?.tsrc=rss" TargetMode="External" Id="rId1"/><Relationship Type="http://schemas.openxmlformats.org/officeDocument/2006/relationships/hyperlink" Target="https://247wallst.com/investing/2026/02/19/metas-115-billion-ai-bet-puts-nvidia-at-the-center-of-a-multi-year-spending-cycle/?.tsrc=rss" TargetMode="External" Id="rId2"/><Relationship Type="http://schemas.openxmlformats.org/officeDocument/2006/relationships/hyperlink" Target="https://finance.yahoo.com/news/nvidia-expands-ai-infrastructure-role-171626112.html?.tsrc=rss" TargetMode="External" Id="rId3"/><Relationship Type="http://schemas.openxmlformats.org/officeDocument/2006/relationships/hyperlink" Target="https://finance.yahoo.com/news/verizon-vz-pricing-reflect-long-160901855.html?.tsrc=rss" TargetMode="External" Id="rId4"/><Relationship Type="http://schemas.openxmlformats.org/officeDocument/2006/relationships/hyperlink" Target="https://www.thestreet.com/retail/verizon-adds-new-rules-making-leaving-harder-for-customers?.tsrc=rss" TargetMode="External" Id="rId5"/><Relationship Type="http://schemas.openxmlformats.org/officeDocument/2006/relationships/hyperlink" Target="https://247wallst.com/investing/2026/02/19/here-are-thursdays-top-wall-street-analyst-research-calls-analog-devices-chewy-credo-technology-ebay-fiverr-shopify-verizon-and-more/?.tsrc=rss" TargetMode="External" Id="rId6"/><Relationship Type="http://schemas.openxmlformats.org/officeDocument/2006/relationships/hyperlink" Target="https://www.fool.com/investing/2026/02/19/is-netflix-stock-a-buy-sell-or-hold-in-2026/?.tsrc=rss" TargetMode="External" Id="rId7"/><Relationship Type="http://schemas.openxmlformats.org/officeDocument/2006/relationships/hyperlink" Target="https://finance.yahoo.com/news/exclusive-netflix-ample-room-increase-174727437.html?.tsrc=rss" TargetMode="External" Id="rId8"/><Relationship Type="http://schemas.openxmlformats.org/officeDocument/2006/relationships/hyperlink" Target="https://finance.yahoo.com/news/why-netflix-nflx-down-8-163004140.html?.tsrc=rss" TargetMode="External" Id="rId9"/><Relationship Type="http://schemas.openxmlformats.org/officeDocument/2006/relationships/hyperlink" Target="https://247wallst.com/media/2026/02/19/youtube-threat-drives-netflix-to-52-week-low/?.tsrc=rss" TargetMode="External" Id="rId10"/><Relationship Type="http://schemas.openxmlformats.org/officeDocument/2006/relationships/hyperlink" Target="https://finance.yahoo.com/news/netflix-vs-comcast-media-stock-135400984.html?.tsrc=rss" TargetMode="External" Id="rId11"/><Relationship Type="http://schemas.openxmlformats.org/officeDocument/2006/relationships/hyperlink" Target="https://finance.yahoo.com/news/t-diversity-lawsuit-puts-governance-121054233.html?.tsrc=rss" TargetMode="External" Id="rId12"/><Relationship Type="http://schemas.openxmlformats.org/officeDocument/2006/relationships/hyperlink" Target="https://finance.yahoo.com/news/theviewpoint-rebrands-upstream-launches-direct-140000379.html?.tsrc=rss" TargetMode="External" Id="rId13"/><Relationship Type="http://schemas.openxmlformats.org/officeDocument/2006/relationships/hyperlink" Target="https://www.barchart.com/story/news/311393/big-money-sees-big-value-in-amazon-should-you-buy-amzn-stock-too?.tsrc=rss" TargetMode="External" Id="rId14"/><Relationship Type="http://schemas.openxmlformats.org/officeDocument/2006/relationships/hyperlink" Target="https://finance.yahoo.com/video/why-tesla-facing-retail-vs-213018287.html?.tsrc=rss" TargetMode="External" Id="rId15"/><Relationship Type="http://schemas.openxmlformats.org/officeDocument/2006/relationships/hyperlink" Target="https://www.fool.com/investing/2026/02/19/where-will-tesla-be-in-1-year/?.tsrc=rss" TargetMode="External" Id="rId16"/><Relationship Type="http://schemas.openxmlformats.org/officeDocument/2006/relationships/hyperlink" Target="https://finance.yahoo.com/news/global-battery-market-forecast-company-163200644.html?.tsrc=rss" TargetMode="External" Id="rId17"/><Relationship Type="http://schemas.openxmlformats.org/officeDocument/2006/relationships/hyperlink" Target="https://www.barchart.com/story/news/307719/the-shocking-futuristic-reason-why-elon-musk-is-stopping-production-of-2-tesla-models?.tsrc=rss" TargetMode="External" Id="rId18"/><Relationship Type="http://schemas.openxmlformats.org/officeDocument/2006/relationships/hyperlink" Target="https://finance.yahoo.com/news/elon-musk-reiterates-april-production-153035620.html?.tsrc=rss" TargetMode="External" Id="rId19"/><Relationship Type="http://schemas.openxmlformats.org/officeDocument/2006/relationships/hyperlink" Target="https://finance.yahoo.com/news/mcdonalds-capex-steps-higher-whats-170500233.html?.tsrc=rss" TargetMode="External" Id="rId20"/><Relationship Type="http://schemas.openxmlformats.org/officeDocument/2006/relationships/hyperlink" Target="https://finance.yahoo.com/news/mcdonalds-corporation-mcd-attracting-investor-140006555.html?.tsrc=rss" TargetMode="External" Id="rId21"/><Relationship Type="http://schemas.openxmlformats.org/officeDocument/2006/relationships/hyperlink" Target="https://finance.yahoo.com/news/zacks-analyst-blog-applied-materials-085000912.html?.tsrc=rss" TargetMode="External" Id="rId22"/><Relationship Type="http://schemas.openxmlformats.org/officeDocument/2006/relationships/hyperlink" Target="https://finance.yahoo.com/news/booking-approves-25-1-split-200518547.html?.tsrc=rss" TargetMode="External" Id="rId23"/><Relationship Type="http://schemas.openxmlformats.org/officeDocument/2006/relationships/hyperlink" Target="https://247wallst.com/investing/2026/02/19/down-32-booking-holdings-announces-25-to-1-stock-split-time-to-buy/?.tsrc=rss" TargetMode="External" Id="rId24"/><Relationship Type="http://schemas.openxmlformats.org/officeDocument/2006/relationships/hyperlink" Target="https://finance.yahoo.com/news/why-booking-bkng-shares-falling-170601152.html?.tsrc=rss" TargetMode="External" Id="rId25"/><Relationship Type="http://schemas.openxmlformats.org/officeDocument/2006/relationships/hyperlink" Target="https://finance.yahoo.com/news/booking-holdings-apos-higher-investments-161357337.html?.tsrc=rss" TargetMode="External" Id="rId26"/><Relationship Type="http://schemas.openxmlformats.org/officeDocument/2006/relationships/hyperlink" Target="https://finance.yahoo.com/news/booking-navigates-ai-agent-debate-160146811.html?.tsrc=rss" TargetMode="External" Id="rId27"/><Relationship Type="http://schemas.openxmlformats.org/officeDocument/2006/relationships/hyperlink" Target="https://247wallst.com/investing/2026/02/19/booking-tops-forecasts-but-tumbles-9-as-travel-demand-shows-signs-of-cooling/?.tsrc=rss" TargetMode="External" Id="rId28"/><Relationship Type="http://schemas.openxmlformats.org/officeDocument/2006/relationships/hyperlink" Target="https://finance.yahoo.com/video/chewy-carvana-booking-holdings-top-155204737.html?.tsrc=rss" TargetMode="External" Id="rId29"/><Relationship Type="http://schemas.openxmlformats.org/officeDocument/2006/relationships/hyperlink" Target="https://finance.yahoo.com/news/bkng-q4-deep-dive-ai-155046946.html?.tsrc=rss" TargetMode="External" Id="rId30"/><Relationship Type="http://schemas.openxmlformats.org/officeDocument/2006/relationships/hyperlink" Target="https://www.cfodive.com/news/booking-uses-ai-to-slash-customer-service-costs-cfo-says/812624/?.tsrc=rss" TargetMode="External" Id="rId31"/><Relationship Type="http://schemas.openxmlformats.org/officeDocument/2006/relationships/hyperlink" Target="https://finance.yahoo.com/news/lowes-companies-inc-low-attracting-140002680.html?.tsrc=rss" TargetMode="External" Id="rId32"/><Relationship Type="http://schemas.openxmlformats.org/officeDocument/2006/relationships/hyperlink" Target="https://finance.yahoo.com/news/lowes-affirm-buy-now-pay-091353878.html?.tsrc=rss" TargetMode="External" Id="rId33"/><Relationship Type="http://schemas.openxmlformats.org/officeDocument/2006/relationships/hyperlink" Target="https://finance.yahoo.com/news/starbucks-investor-group-urges-shareholders-163226990.html?.tsrc=rss" TargetMode="External" Id="rId34"/><Relationship Type="http://schemas.openxmlformats.org/officeDocument/2006/relationships/hyperlink" Target="https://www.thestreet.com/travel/norwegian-cruise-line-under-pressure-to-catch-royal-caribbean?.tsrc=rss" TargetMode="External" Id="rId35"/><Relationship Type="http://schemas.openxmlformats.org/officeDocument/2006/relationships/hyperlink" Target="https://finance.yahoo.com/news/royal-caribbean-ceo-using-ai-190431858.html?.tsrc=rss" TargetMode="External" Id="rId36"/><Relationship Type="http://schemas.openxmlformats.org/officeDocument/2006/relationships/hyperlink" Target="https://finance.yahoo.com/m/970927f5-951e-30c0-8f03-b20dfca36fa9/stocks-to-watch-thursday.html?.tsrc=rss" TargetMode="External" Id="rId37"/><Relationship Type="http://schemas.openxmlformats.org/officeDocument/2006/relationships/hyperlink" Target="https://app.moby.co/home/research/tools/earningsCalendar/earnings-walmart-inc-q4-2026-earnings-call-summary?utm_source=yahoo_finance&amp;utm_medium=rss&amp;.tsrc=rss" TargetMode="External" Id="rId38"/><Relationship Type="http://schemas.openxmlformats.org/officeDocument/2006/relationships/hyperlink" Target="https://www.investopedia.com/meet-sparky-the-ai-chatbot-walmart-says-is-a-whiz-at-sales-wmt-11909966?.tsrc=rss" TargetMode="External" Id="rId39"/><Relationship Type="http://schemas.openxmlformats.org/officeDocument/2006/relationships/hyperlink" Target="https://finance.yahoo.com/video/walmart-results-show-split-consumer-203203856.html?.tsrc=rss" TargetMode="External" Id="rId40"/><Relationship Type="http://schemas.openxmlformats.org/officeDocument/2006/relationships/hyperlink" Target="https://www.barchart.com/story/news/312716/where-is-walmart-stock-headed-next-after-q4-earnings-what-barchart-options-data-says?.tsrc=rss" TargetMode="External" Id="rId41"/><Relationship Type="http://schemas.openxmlformats.org/officeDocument/2006/relationships/hyperlink" Target="https://finance.yahoo.com/news/walmart-inc-wmt-q4-2026-190309172.html?.tsrc=rss" TargetMode="External" Id="rId42"/><Relationship Type="http://schemas.openxmlformats.org/officeDocument/2006/relationships/hyperlink" Target="https://finance.yahoo.com/video/walmarts-cautious-outlook-reflects-uneven-184310403.html?.tsrc=rss" TargetMode="External" Id="rId43"/><Relationship Type="http://schemas.openxmlformats.org/officeDocument/2006/relationships/hyperlink" Target="https://finance.yahoo.com/video/walmart-prices-only-rose-1-183000393.html?.tsrc=rss" TargetMode="External" Id="rId44"/><Relationship Type="http://schemas.openxmlformats.org/officeDocument/2006/relationships/hyperlink" Target="https://www.fool.com/investing/2026/02/19/where-will-costco-be-in-5-years/?.tsrc=rss" TargetMode="External" Id="rId45"/><Relationship Type="http://schemas.openxmlformats.org/officeDocument/2006/relationships/hyperlink" Target="https://www.fool.com/investing/2026/02/19/is-writer-pick-stock-going-to-x/?.tsrc=rss" TargetMode="External" Id="rId46"/><Relationship Type="http://schemas.openxmlformats.org/officeDocument/2006/relationships/hyperlink" Target="https://finance.yahoo.com/news/target-vs-costco-discount-retail-154600609.html?.tsrc=rss" TargetMode="External" Id="rId47"/><Relationship Type="http://schemas.openxmlformats.org/officeDocument/2006/relationships/hyperlink" Target="https://finance.yahoo.com/news/analysts-saying-costco-wholesale-corporation-144839296.html?.tsrc=rss" TargetMode="External" Id="rId48"/><Relationship Type="http://schemas.openxmlformats.org/officeDocument/2006/relationships/hyperlink" Target="https://finance.yahoo.com/news/costco-wholesale-cost-valuation-check-130936725.html?.tsrc=rss" TargetMode="External" Id="rId49"/><Relationship Type="http://schemas.openxmlformats.org/officeDocument/2006/relationships/hyperlink" Target="https://finance.yahoo.com/news/nike-costco-dunk-drop-tests-130723905.html?.tsrc=rss" TargetMode="External" Id="rId50"/><Relationship Type="http://schemas.openxmlformats.org/officeDocument/2006/relationships/hyperlink" Target="https://finance.yahoo.com/news/costco-lawsuits-test-food-safety-121522168.html?.tsrc=rss" TargetMode="External" Id="rId51"/><Relationship Type="http://schemas.openxmlformats.org/officeDocument/2006/relationships/hyperlink" Target="https://www.fool.com/investing/2026/02/19/nike-costco-partnership-genius/?.tsrc=rss" TargetMode="External" Id="rId52"/><Relationship Type="http://schemas.openxmlformats.org/officeDocument/2006/relationships/hyperlink" Target="https://finance.yahoo.com/news/board-directors-coca-cola-company-190000482.html?.tsrc=rss" TargetMode="External" Id="rId53"/><Relationship Type="http://schemas.openxmlformats.org/officeDocument/2006/relationships/hyperlink" Target="https://finance.yahoo.com/news/coca-cola-ceo-shift-pairs-111135475.html?.tsrc=rss" TargetMode="External" Id="rId54"/><Relationship Type="http://schemas.openxmlformats.org/officeDocument/2006/relationships/hyperlink" Target="https://finance.yahoo.com/news/monster-beverage-report-financial-results-173000663.html?.tsrc=rss" TargetMode="External" Id="rId55"/><Relationship Type="http://schemas.openxmlformats.org/officeDocument/2006/relationships/hyperlink" Target="https://finance.yahoo.com/news/monster-beverage-mnst-earnings-expected-150014453.html?.tsrc=rss" TargetMode="External" Id="rId56"/><Relationship Type="http://schemas.openxmlformats.org/officeDocument/2006/relationships/hyperlink" Target="https://finance.yahoo.com/news/investors-may-respond-monster-beverage-091320861.html?.tsrc=rss" TargetMode="External" Id="rId57"/><Relationship Type="http://schemas.openxmlformats.org/officeDocument/2006/relationships/hyperlink" Target="https://finance.yahoo.com/news/exxon-mobil-xom-shifting-geopolitical-210822970.html?.tsrc=rss" TargetMode="External" Id="rId58"/><Relationship Type="http://schemas.openxmlformats.org/officeDocument/2006/relationships/hyperlink" Target="https://finance.yahoo.com/news/chevron-expands-mediterranean-reach-greece-173054417.html?.tsrc=rss" TargetMode="External" Id="rId59"/><Relationship Type="http://schemas.openxmlformats.org/officeDocument/2006/relationships/hyperlink" Target="https://finance.yahoo.com/news/conocophillips-cop-still-attractive-recent-140954456.html?.tsrc=rss" TargetMode="External" Id="rId60"/><Relationship Type="http://schemas.openxmlformats.org/officeDocument/2006/relationships/hyperlink" Target="https://finance.yahoo.com/news/eog-resources-eog-buy-rating-160305300.html?.tsrc=rss" TargetMode="External" Id="rId61"/><Relationship Type="http://schemas.openxmlformats.org/officeDocument/2006/relationships/hyperlink" Target="https://finance.yahoo.com/news/kinder-morgan-kmi-pricing-reflect-210914449.html?.tsrc=rss" TargetMode="External" Id="rId62"/><Relationship Type="http://schemas.openxmlformats.org/officeDocument/2006/relationships/hyperlink" Target="https://finance.yahoo.com/news/ugp-vs-kmi-stock-better-164002411.html?.tsrc=rss" TargetMode="External" Id="rId63"/><Relationship Type="http://schemas.openxmlformats.org/officeDocument/2006/relationships/hyperlink" Target="https://finance.yahoo.com/news/kinder-morgan-kmi-ninth-straight-140858043.html?.tsrc=rss" TargetMode="External" Id="rId64"/><Relationship Type="http://schemas.openxmlformats.org/officeDocument/2006/relationships/hyperlink" Target="https://finance.yahoo.com/news/reasons-why-psxs-midstream-portfolio-162800490.html?.tsrc=rss" TargetMode="External" Id="rId65"/><Relationship Type="http://schemas.openxmlformats.org/officeDocument/2006/relationships/hyperlink" Target="https://finance.yahoo.com/news/baker-hughes-taps-ai-power-160650122.html?.tsrc=rss" TargetMode="External" Id="rId66"/><Relationship Type="http://schemas.openxmlformats.org/officeDocument/2006/relationships/hyperlink" Target="https://finance.yahoo.com/news/berkshire-hathaway-shifts-portfolio-greg-220913532.html?.tsrc=rss" TargetMode="External" Id="rId67"/><Relationship Type="http://schemas.openxmlformats.org/officeDocument/2006/relationships/hyperlink" Target="https://ca.finance.yahoo.com/news/ecb-fines-jpmorgan-12-2-171440440.html?.tsrc=rss" TargetMode="External" Id="rId68"/><Relationship Type="http://schemas.openxmlformats.org/officeDocument/2006/relationships/hyperlink" Target="https://finance.yahoo.com/news/jpmorgan-says-trump-5-billion-194855618.html?.tsrc=rss" TargetMode="External" Id="rId69"/><Relationship Type="http://schemas.openxmlformats.org/officeDocument/2006/relationships/hyperlink" Target="https://www.cnn.com/2026/02/19/investing/jamie-dimon-jpmorgan-trump-lawsuit?.tsrc=rss" TargetMode="External" Id="rId70"/><Relationship Type="http://schemas.openxmlformats.org/officeDocument/2006/relationships/hyperlink" Target="https://finance.yahoo.com/news/why-narrative-around-croda-international-160853895.html?.tsrc=rss" TargetMode="External" Id="rId71"/><Relationship Type="http://schemas.openxmlformats.org/officeDocument/2006/relationships/hyperlink" Target="https://finance.yahoo.com/news/jpmorgan-betabuilders-u-mid-cap-112002041.html?.tsrc=rss" TargetMode="External" Id="rId72"/><Relationship Type="http://schemas.openxmlformats.org/officeDocument/2006/relationships/hyperlink" Target="https://www.retailbankerinternational.com/news/jpmorgan-chase-add-160-branches/?.tsrc=rss" TargetMode="External" Id="rId73"/><Relationship Type="http://schemas.openxmlformats.org/officeDocument/2006/relationships/hyperlink" Target="https://finance.yahoo.com/news/tariffs-paid-midsized-us-firms-111644669.html?.tsrc=rss" TargetMode="External" Id="rId74"/><Relationship Type="http://schemas.openxmlformats.org/officeDocument/2006/relationships/hyperlink" Target="https://finance.yahoo.com/news/visa-expands-argentina-deal-172005825.html?.tsrc=rss" TargetMode="External" Id="rId75"/><Relationship Type="http://schemas.openxmlformats.org/officeDocument/2006/relationships/hyperlink" Target="https://finance.yahoo.com/news/visa-strikes-deal-prisma-newpay-151420441.html?.tsrc=rss" TargetMode="External" Id="rId76"/><Relationship Type="http://schemas.openxmlformats.org/officeDocument/2006/relationships/hyperlink" Target="https://finance.yahoo.com/news/american-express-visa-alumni-raise-150000668.html?.tsrc=rss" TargetMode="External" Id="rId77"/><Relationship Type="http://schemas.openxmlformats.org/officeDocument/2006/relationships/hyperlink" Target="https://finance.yahoo.com/news/advent-sell-prisma-newpay-visa-141300081.html?.tsrc=rss" TargetMode="External" Id="rId78"/><Relationship Type="http://schemas.openxmlformats.org/officeDocument/2006/relationships/hyperlink" Target="https://finance.yahoo.com/news/visa-acquire-prisma-medios-pago-140800025.html?.tsrc=rss" TargetMode="External" Id="rId79"/><Relationship Type="http://schemas.openxmlformats.org/officeDocument/2006/relationships/hyperlink" Target="https://finance.yahoo.com/news/visa-renews-partnership-across-red-140000747.html?.tsrc=rss" TargetMode="External" Id="rId80"/><Relationship Type="http://schemas.openxmlformats.org/officeDocument/2006/relationships/hyperlink" Target="https://www.paymentsdive.com/news/visa-to-buy-prisma-in-argentina/812584/?.tsrc=rss" TargetMode="External" Id="rId81"/><Relationship Type="http://schemas.openxmlformats.org/officeDocument/2006/relationships/hyperlink" Target="https://www.electronicpaymentsinternational.com/news/mastercard-google-pay-saudi-arabia/?.tsrc=rss" TargetMode="External" Id="rId82"/><Relationship Type="http://schemas.openxmlformats.org/officeDocument/2006/relationships/hyperlink" Target="https://finance.yahoo.com/news/investors-heavily-search-bank-america-140004226.html?.tsrc=rss" TargetMode="External" Id="rId83"/><Relationship Type="http://schemas.openxmlformats.org/officeDocument/2006/relationships/hyperlink" Target="https://www.fool.com/investing/2026/02/19/why-this-1-unstoppable-stock-could-be-the-next-ban/?.tsrc=rss" TargetMode="External" Id="rId84"/><Relationship Type="http://schemas.openxmlformats.org/officeDocument/2006/relationships/hyperlink" Target="https://247wallst.com/investing/2026/02/19/citigroup-vs-wells-fargo-which-wins-on-dividends-buybacks-interest-rate-exposure/?.tsrc=rss" TargetMode="External" Id="rId85"/><Relationship Type="http://schemas.openxmlformats.org/officeDocument/2006/relationships/hyperlink" Target="https://finance.yahoo.com/news/wells-fargo-long-term-debt-130907272.html?.tsrc=rss" TargetMode="External" Id="rId86"/><Relationship Type="http://schemas.openxmlformats.org/officeDocument/2006/relationships/hyperlink" Target="https://247wallst.com/investing/2026/02/19/5-dividend-paying-giants-have-been-on-goldman-sachs-conviction-list-the-longest/?.tsrc=rss" TargetMode="External" Id="rId87"/><Relationship Type="http://schemas.openxmlformats.org/officeDocument/2006/relationships/hyperlink" Target="https://www.wealthmanagement.com/alternative-investments/morgan-stanley-slashes-prices-for-clients-trading-private-shares?.tsrc=rss" TargetMode="External" Id="rId88"/><Relationship Type="http://schemas.openxmlformats.org/officeDocument/2006/relationships/hyperlink" Target="https://finance.yahoo.com/m/4a6c5dd6-6f5a-3077-953f-bfa3bd820e4d/morgan-stanley-slashes-fees.html?.tsrc=rss" TargetMode="External" Id="rId89"/><Relationship Type="http://schemas.openxmlformats.org/officeDocument/2006/relationships/hyperlink" Target="https://finance.yahoo.com/news/omnicom-apos-future-depends-revenue-162715674.html?.tsrc=rss" TargetMode="External" Id="rId90"/><Relationship Type="http://schemas.openxmlformats.org/officeDocument/2006/relationships/hyperlink" Target="https://finance.yahoo.com/news/morgan-stanley-wealth-management-reduces-143000524.html?.tsrc=rss" TargetMode="External" Id="rId91"/><Relationship Type="http://schemas.openxmlformats.org/officeDocument/2006/relationships/hyperlink" Target="https://finance.yahoo.com/news/amazon-remains-morgan-stanleys-top-140341859.html?.tsrc=rss" TargetMode="External" Id="rId92"/><Relationship Type="http://schemas.openxmlformats.org/officeDocument/2006/relationships/hyperlink" Target="https://finance.yahoo.com/news/morgan-stanley-sees-buying-opportunity-122443454.html?.tsrc=rss" TargetMode="External" Id="rId93"/><Relationship Type="http://schemas.openxmlformats.org/officeDocument/2006/relationships/hyperlink" Target="https://finance.yahoo.com/news/morgan-stanley-identifies-best-gas-112231165.html?.tsrc=rss" TargetMode="External" Id="rId94"/><Relationship Type="http://schemas.openxmlformats.org/officeDocument/2006/relationships/hyperlink" Target="https://finance.yahoo.com/news/morgan-stanley-says-2-momentum-105933765.html?.tsrc=rss" TargetMode="External" Id="rId95"/><Relationship Type="http://schemas.openxmlformats.org/officeDocument/2006/relationships/hyperlink" Target="https://finance.yahoo.com/news/assessing-american-express-axp-recent-201019544.html?.tsrc=rss" TargetMode="External" Id="rId96"/><Relationship Type="http://schemas.openxmlformats.org/officeDocument/2006/relationships/hyperlink" Target="https://www.fool.com/investing/2026/02/19/3-predictions-for-american-express-in-2026/?.tsrc=rss" TargetMode="External" Id="rId97"/><Relationship Type="http://schemas.openxmlformats.org/officeDocument/2006/relationships/hyperlink" Target="https://finance.yahoo.com/news/american-express-axp-valuation-check-151854833.html?.tsrc=rss" TargetMode="External" Id="rId98"/><Relationship Type="http://schemas.openxmlformats.org/officeDocument/2006/relationships/hyperlink" Target="https://finance.yahoo.com/news/leverage-shares-themes-expands-2x-140000207.html?.tsrc=rss" TargetMode="External" Id="rId99"/><Relationship Type="http://schemas.openxmlformats.org/officeDocument/2006/relationships/hyperlink" Target="https://finance.yahoo.com/news/too-consider-eli-lilly-lly-190838789.html?.tsrc=rss" TargetMode="External" Id="rId100"/><Relationship Type="http://schemas.openxmlformats.org/officeDocument/2006/relationships/hyperlink" Target="https://finance.yahoo.com/news/eli-lillys-experimental-cancer-drug-183017993.html?.tsrc=rss" TargetMode="External" Id="rId101"/><Relationship Type="http://schemas.openxmlformats.org/officeDocument/2006/relationships/hyperlink" Target="https://finance.yahoo.com/news/patients-crohns-disease-maintained-steroid-171500571.html?.tsrc=rss" TargetMode="External" Id="rId102"/><Relationship Type="http://schemas.openxmlformats.org/officeDocument/2006/relationships/hyperlink" Target="https://finance.yahoo.com/news/johnson-johnson-explores-20-billion-194130332.html?.tsrc=rss" TargetMode="External" Id="rId103"/><Relationship Type="http://schemas.openxmlformats.org/officeDocument/2006/relationships/hyperlink" Target="https://www.foxbusiness.com/markets/johnson-johnson-invest-1b-pennsylvania-manufacturing-facility?.tsrc=rss" TargetMode="External" Id="rId104"/><Relationship Type="http://schemas.openxmlformats.org/officeDocument/2006/relationships/hyperlink" Target="https://finance.yahoo.com/news/abbvie-declares-quarterly-dividend-143700509.html?.tsrc=rss" TargetMode="External" Id="rId105"/><Relationship Type="http://schemas.openxmlformats.org/officeDocument/2006/relationships/hyperlink" Target="https://finance.yahoo.com/news/abbvie-abbv-post-humira-pipeline-121557671.html?.tsrc=rss" TargetMode="External" Id="rId106"/><Relationship Type="http://schemas.openxmlformats.org/officeDocument/2006/relationships/hyperlink" Target="https://finance.yahoo.com/news/where-merck-co-inc-mrk-145243554.html?.tsrc=rss" TargetMode="External" Id="rId107"/><Relationship Type="http://schemas.openxmlformats.org/officeDocument/2006/relationships/hyperlink" Target="https://finance.yahoo.com/news/3d-protein-structure-analysis-market-122400549.html?.tsrc=rss" TargetMode="External" Id="rId108"/><Relationship Type="http://schemas.openxmlformats.org/officeDocument/2006/relationships/hyperlink" Target="https://finance.yahoo.com/news/19-8-billion-cell-gene-122200041.html?.tsrc=rss" TargetMode="External" Id="rId109"/><Relationship Type="http://schemas.openxmlformats.org/officeDocument/2006/relationships/hyperlink" Target="https://finance.yahoo.com/news/merck-announces-positive-data-enflonsia-101500519.html?.tsrc=rss" TargetMode="External" Id="rId110"/><Relationship Type="http://schemas.openxmlformats.org/officeDocument/2006/relationships/hyperlink" Target="https://finance.yahoo.com/m/717657b3-b3c0-397b-a0ba-b3c4eca88df4/world%E2%80%99s-largest-hedge-fund.html?.tsrc=rss" TargetMode="External" Id="rId111"/><Relationship Type="http://schemas.openxmlformats.org/officeDocument/2006/relationships/hyperlink" Target="https://finance.yahoo.com/news/unitedhealth-group-incorporated-unh-trending-140003021.html?.tsrc=rss" TargetMode="External" Id="rId112"/><Relationship Type="http://schemas.openxmlformats.org/officeDocument/2006/relationships/hyperlink" Target="https://finance.yahoo.com/news/street-saying-amgen-inc-amgn-145420750.html?.tsrc=rss" TargetMode="External" Id="rId113"/><Relationship Type="http://schemas.openxmlformats.org/officeDocument/2006/relationships/hyperlink" Target="https://finance.yahoo.com/news/possible-bearish-signals-amgen-insiders-130007972.html?.tsrc=rss" TargetMode="External" Id="rId114"/><Relationship Type="http://schemas.openxmlformats.org/officeDocument/2006/relationships/hyperlink" Target="https://finance.yahoo.com/news/worth-investing-intuitive-surgical-isrg-143003598.html?.tsrc=rss" TargetMode="External" Id="rId115"/><Relationship Type="http://schemas.openxmlformats.org/officeDocument/2006/relationships/hyperlink" Target="https://finance.yahoo.com/news/intuitive-surgical-ai-da-vinci-140952494.html?.tsrc=rss" TargetMode="External" Id="rId116"/><Relationship Type="http://schemas.openxmlformats.org/officeDocument/2006/relationships/hyperlink" Target="https://www.fool.com/investing/2026/02/19/could-intuitive-surgical-be-the-one-medtech-stock/?.tsrc=rss" TargetMode="External" Id="rId117"/><Relationship Type="http://schemas.openxmlformats.org/officeDocument/2006/relationships/hyperlink" Target="https://finance.yahoo.com/news/analysts-gilead-sciences-gild-post-145451246.html?.tsrc=rss" TargetMode="External" Id="rId118"/><Relationship Type="http://schemas.openxmlformats.org/officeDocument/2006/relationships/hyperlink" Target="https://finance.yahoo.com/news/most-watched-stock-gilead-sciences-140005268.html?.tsrc=rss" TargetMode="External" Id="rId119"/><Relationship Type="http://schemas.openxmlformats.org/officeDocument/2006/relationships/hyperlink" Target="https://finance.yahoo.com/m/71541a48-902a-3394-94c0-81c710af5e55/ge-aerospace-stock-wins-big.html?.tsrc=rss" TargetMode="External" Id="rId120"/><Relationship Type="http://schemas.openxmlformats.org/officeDocument/2006/relationships/hyperlink" Target="https://finance.yahoo.com/m/528e0730-a182-3e6f-8689-275d49b94c73/ge-aerospace-readies-takeoff.html?.tsrc=rss" TargetMode="External" Id="rId121"/><Relationship Type="http://schemas.openxmlformats.org/officeDocument/2006/relationships/hyperlink" Target="https://finance.yahoo.com/news/why-general-electric-ge-5-191157453.html?.tsrc=rss" TargetMode="External" Id="rId122"/><Relationship Type="http://schemas.openxmlformats.org/officeDocument/2006/relationships/hyperlink" Target="https://finance.yahoo.com/news/investors-heavily-search-ge-aerospace-140006579.html?.tsrc=rss" TargetMode="External" Id="rId123"/><Relationship Type="http://schemas.openxmlformats.org/officeDocument/2006/relationships/hyperlink" Target="https://finance.yahoo.com/news/ge-vernova-inc-gev-attracting-140005122.html?.tsrc=rss" TargetMode="External" Id="rId124"/><Relationship Type="http://schemas.openxmlformats.org/officeDocument/2006/relationships/hyperlink" Target="https://finance.yahoo.com/news/fortune-500-ceo-says-lean-103158808.html?.tsrc=rss" TargetMode="External" Id="rId125"/><Relationship Type="http://schemas.openxmlformats.org/officeDocument/2006/relationships/hyperlink" Target="https://finance.yahoo.com/news/caterpillar-ceo-joe-creed-group-140500527.html?.tsrc=rss" TargetMode="External" Id="rId126"/><Relationship Type="http://schemas.openxmlformats.org/officeDocument/2006/relationships/hyperlink" Target="https://247wallst.com/investing/2026/02/19/caterpillar-honeywell-and-chevron-lead-the-dow-jones-in-2026/?.tsrc=rss" TargetMode="External" Id="rId127"/><Relationship Type="http://schemas.openxmlformats.org/officeDocument/2006/relationships/hyperlink" Target="https://finance.yahoo.com/news/rtx-contract-win-patriot-concerns-220907003.html?.tsrc=rss" TargetMode="External" Id="rId128"/><Relationship Type="http://schemas.openxmlformats.org/officeDocument/2006/relationships/hyperlink" Target="https://finance.yahoo.com/news/rtx-corporation-rtx-attracting-investor-140002039.html?.tsrc=rss" TargetMode="External" Id="rId129"/><Relationship Type="http://schemas.openxmlformats.org/officeDocument/2006/relationships/hyperlink" Target="https://finance.yahoo.com/news/ge-vernova-gas-wind-deals-190956820.html?.tsrc=rss" TargetMode="External" Id="rId130"/><Relationship Type="http://schemas.openxmlformats.org/officeDocument/2006/relationships/hyperlink" Target="https://finance.yahoo.com/m/e29cab36-ada6-3bbe-948d-3a2b1f8ac811/boeing%2C-northrop-moving-on.html?.tsrc=rss" TargetMode="External" Id="rId131"/><Relationship Type="http://schemas.openxmlformats.org/officeDocument/2006/relationships/hyperlink" Target="https://www.euronews.com/business/2026/02/19/airbus-posts-record-year-but-washington-still-prefers-the-boeing-home-team?utm_source=yahoo&amp;utm_campaign=feeds_business_articles_2024&amp;utm_medium=referral&amp;.tsrc=rss" TargetMode="External" Id="rId132"/><Relationship Type="http://schemas.openxmlformats.org/officeDocument/2006/relationships/hyperlink" Target="https://finance.yahoo.com/news/boeing-receives-initial-qualification-777-130000150.html?.tsrc=rss" TargetMode="External" Id="rId133"/><Relationship Type="http://schemas.openxmlformats.org/officeDocument/2006/relationships/hyperlink" Target="https://finance.yahoo.com/news/uber-expands-life360-deal-enhance-134600012.html?.tsrc=rss" TargetMode="External" Id="rId134"/><Relationship Type="http://schemas.openxmlformats.org/officeDocument/2006/relationships/hyperlink" Target="https://finance.yahoo.com/news/intuit-turbotax-delivers-ultimate-done-120000803.html?.tsrc=rss" TargetMode="External" Id="rId135"/><Relationship Type="http://schemas.openxmlformats.org/officeDocument/2006/relationships/hyperlink" Target="https://finance.yahoo.com/m/8722d53c-f32d-39db-a596-af25208e404b/uber%2C-latest-victim-of.html?.tsrc=rss" TargetMode="External" Id="rId136"/><Relationship Type="http://schemas.openxmlformats.org/officeDocument/2006/relationships/hyperlink" Target="https://www.marketbeat.com/instant-alerts/honeywell-international-ceo-q1-tracking-to-guidance-as-aerospace-buildings-surge-and-split-nears-2026-02-19/?utm_source=yahoofinance&amp;utm_medium=yahoofinance&amp;.tsrc=rss" TargetMode="External" Id="rId137"/><Relationship Type="http://schemas.openxmlformats.org/officeDocument/2006/relationships/hyperlink" Target="https://finance.yahoo.com/news/union-pacific-merger-delay-puts-181038520.html?.tsrc=rss" TargetMode="External" Id="rId138"/><Relationship Type="http://schemas.openxmlformats.org/officeDocument/2006/relationships/hyperlink" Target="https://www.pharmaceutical-technology.com/news/novartis-enters-licensing-agreement-unp/?.tsrc=rss" TargetMode="External" Id="rId139"/><Relationship Type="http://schemas.openxmlformats.org/officeDocument/2006/relationships/hyperlink" Target="https://finance.yahoo.com/m/05e95553-7994-3847-b07a-7e2f7db4489f/these-stocks-are-today%E2%80%99s.html?.tsrc=rss" TargetMode="External" Id="rId140"/><Relationship Type="http://schemas.openxmlformats.org/officeDocument/2006/relationships/hyperlink" Target="https://app.moby.co/home/research/tools/earningsCalendar/earnings-deere-company-q1-2026-earnings-call-summary?utm_source=yahoo_finance&amp;utm_medium=rss&amp;.tsrc=rss" TargetMode="External" Id="rId141"/><Relationship Type="http://schemas.openxmlformats.org/officeDocument/2006/relationships/hyperlink" Target="https://www.desmoinesregister.com/story/money/business/2026/02/19/john-deere-dubuque-workers-recalled/88762414007/?.tsrc=rss" TargetMode="External" Id="rId142"/><Relationship Type="http://schemas.openxmlformats.org/officeDocument/2006/relationships/hyperlink" Target="https://finance.yahoo.com/m/7ff559e1-48b8-31d3-ba6d-657c127288c3/deere-stock-hits-new-52-week.html?.tsrc=rss" TargetMode="External" Id="rId143"/><Relationship Type="http://schemas.openxmlformats.org/officeDocument/2006/relationships/hyperlink" Target="https://finance.yahoo.com/news/deere-co-q1-2026-earnings-210439899.html?.tsrc=rss" TargetMode="External" Id="rId144"/><Relationship Type="http://schemas.openxmlformats.org/officeDocument/2006/relationships/hyperlink" Target="https://finance.yahoo.com/video/deere-lifts-full-profit-forecast-183935575.html?.tsrc=rss" TargetMode="External" Id="rId145"/><Relationship Type="http://schemas.openxmlformats.org/officeDocument/2006/relationships/hyperlink" Target="https://247wallst.com/investing/2026/02/19/should-you-run-with-deere-after-big-beat-and-raise-quarter/?.tsrc=rss" TargetMode="External" Id="rId146"/><Relationship Type="http://schemas.openxmlformats.org/officeDocument/2006/relationships/hyperlink" Target="https://finance.yahoo.com/news/deere-lifts-annual-profit-outlook-111207990.html?.tsrc=rss" TargetMode="External" Id="rId147"/><Relationship Type="http://schemas.openxmlformats.org/officeDocument/2006/relationships/hyperlink" Target="https://finance.yahoo.com/m/5fc36bda-377a-3bee-8bc6-dae208b3a606/deere-has-%24600-million-riding.html?.tsrc=rss" TargetMode="External" Id="rId148"/><Relationship Type="http://schemas.openxmlformats.org/officeDocument/2006/relationships/hyperlink" Target="https://www.fool.com/earnings/call-transcripts/2026/02/19/deere-de-q1-2026-earnings-call-transcript/?.tsrc=rss" TargetMode="External" Id="rId149"/><Relationship Type="http://schemas.openxmlformats.org/officeDocument/2006/relationships/hyperlink" Target="https://finance.yahoo.com/news/deere-earnings-surpass-estimate-q1-155000900.html?.tsrc=rss" TargetMode="External" Id="rId150"/><Relationship Type="http://schemas.openxmlformats.org/officeDocument/2006/relationships/hyperlink" Target="https://finance.yahoo.com/news/newmont-beats-q4-estimates-highlights-223031302.html?.tsrc=rss" TargetMode="External" Id="rId151"/><Relationship Type="http://schemas.openxmlformats.org/officeDocument/2006/relationships/hyperlink" Target="https://finance.yahoo.com/m/5163592e-ec99-3f76-9a4c-b377339b562f/newmont-beats-expectations.html?.tsrc=rss" TargetMode="External" Id="rId152"/><Relationship Type="http://schemas.openxmlformats.org/officeDocument/2006/relationships/hyperlink" Target="https://finance.yahoo.com/news/newmont-q4-earnings-snapshot-215144240.html?.tsrc=rss" TargetMode="External" Id="rId153"/><Relationship Type="http://schemas.openxmlformats.org/officeDocument/2006/relationships/hyperlink" Target="https://finance.yahoo.com/m/1faf6941-ff74-3a32-95a1-3f4e1fa2890c/newmont-fourth-quarter.html?.tsrc=rss" TargetMode="External" Id="rId154"/><Relationship Type="http://schemas.openxmlformats.org/officeDocument/2006/relationships/hyperlink" Target="https://finance.yahoo.com/news/newmont-reports-2025-mineral-reserves-210800117.html?.tsrc=rss" TargetMode="External" Id="rId155"/><Relationship Type="http://schemas.openxmlformats.org/officeDocument/2006/relationships/hyperlink" Target="https://finance.yahoo.com/news/newmont-ceo-shift-tests-capital-160905346.html?.tsrc=rss" TargetMode="External" Id="rId156"/><Relationship Type="http://schemas.openxmlformats.org/officeDocument/2006/relationships/hyperlink" Target="https://finance.yahoo.com/news/narrative-around-freeport-mcmoran-fcx-221314137.html?.tsrc=rss" TargetMode="External" Id="rId157"/><Relationship Type="http://schemas.openxmlformats.org/officeDocument/2006/relationships/hyperlink" Target="https://finance.yahoo.com/news/look-freeport-mcmoran-fcx-valuation-091507626.html?.tsrc=rss" TargetMode="External" Id="rId158"/><Relationship Type="http://schemas.openxmlformats.org/officeDocument/2006/relationships/hyperlink" Target="https://finance.yahoo.com/m/dbfb3e9d-5422-337d-93d0-614bd7c91229/crh-delivers-strong.html?.tsrc=rss" TargetMode="External" Id="rId159"/><Relationship Type="http://schemas.openxmlformats.org/officeDocument/2006/relationships/hyperlink" Target="https://finance.yahoo.com/news/crh-plc-crh-q4-2025-190338429.html?.tsrc=rss" TargetMode="External" Id="rId160"/><Relationship Type="http://schemas.openxmlformats.org/officeDocument/2006/relationships/hyperlink" Target="https://finance.yahoo.com/news/assessing-crh-nyse-crh-valuation-180850710.html?.tsrc=rss" TargetMode="External" Id="rId161"/><Relationship Type="http://schemas.openxmlformats.org/officeDocument/2006/relationships/hyperlink" Target="https://finance.yahoo.com/news/crhs-q4-earnings-meet-estimates-152800690.html?.tsrc=rss" TargetMode="External" Id="rId162"/><Relationship Type="http://schemas.openxmlformats.org/officeDocument/2006/relationships/hyperlink" Target="https://app.moby.co/home/research/tools/earningsCalendar/earnings-crh-plc-q4-2025-earnings-call-summary?utm_source=yahoo_finance&amp;utm_medium=rss&amp;.tsrc=rss" TargetMode="External" Id="rId163"/><Relationship Type="http://schemas.openxmlformats.org/officeDocument/2006/relationships/hyperlink" Target="https://finance.yahoo.com/news/recent-analyst-revisions-shaping-story-190859945.html?.tsrc=rss" TargetMode="External" Id="rId164"/><Relationship Type="http://schemas.openxmlformats.org/officeDocument/2006/relationships/hyperlink" Target="https://finance.yahoo.com/news/look-air-products-chemicals-apd-131017278.html?.tsrc=rss" TargetMode="External" Id="rId165"/><Relationship Type="http://schemas.openxmlformats.org/officeDocument/2006/relationships/hyperlink" Target="https://finance.yahoo.com/news/investors-reacting-air-products-apd-091233334.html?.tsrc=rss" TargetMode="External" Id="rId166"/><Relationship Type="http://schemas.openxmlformats.org/officeDocument/2006/relationships/hyperlink" Target="https://finance.yahoo.com/news/ecolab-declares-cash-dividend-234500038.html?.tsrc=rss" TargetMode="External" Id="rId167"/><Relationship Type="http://schemas.openxmlformats.org/officeDocument/2006/relationships/hyperlink" Target="https://www.barchart.com/story/news/298731/do-wall-street-analysts-like-ecolab-stock?.tsrc=rss" TargetMode="External" Id="rId168"/><Relationship Type="http://schemas.openxmlformats.org/officeDocument/2006/relationships/hyperlink" Target="https://finance.yahoo.com/news/martin-marietta-declares-quarterly-cash-211500846.html?.tsrc=rss" TargetMode="External" Id="rId169"/><Relationship Type="http://schemas.openxmlformats.org/officeDocument/2006/relationships/hyperlink" Target="https://finance.yahoo.com/news/bear-day-martin-marietta-materials-113000816.html?.tsrc=rss" TargetMode="External" Id="rId170"/><Relationship Type="http://schemas.openxmlformats.org/officeDocument/2006/relationships/hyperlink" Target="https://finance.yahoo.com/news/worth-investing-prologis-pld-based-143003894.html?.tsrc=rss" TargetMode="External" Id="rId171"/><Relationship Type="http://schemas.openxmlformats.org/officeDocument/2006/relationships/hyperlink" Target="https://finance.yahoo.com/news/bull-case-prologis-pld-could-131025946.html?.tsrc=rss" TargetMode="External" Id="rId172"/><Relationship Type="http://schemas.openxmlformats.org/officeDocument/2006/relationships/hyperlink" Target="https://finance.yahoo.com/news/ahead-american-tower-amt-q4-141507060.html?.tsrc=rss" TargetMode="External" Id="rId173"/><Relationship Type="http://schemas.openxmlformats.org/officeDocument/2006/relationships/hyperlink" Target="https://finance.yahoo.com/news/realty-income-vs-regency-centers-174600270.html?.tsrc=rss" TargetMode="External" Id="rId174"/><Relationship Type="http://schemas.openxmlformats.org/officeDocument/2006/relationships/hyperlink" Target="https://finance.yahoo.com/news/unlocking-q4-potential-realty-income-141505049.html?.tsrc=rss" TargetMode="External" Id="rId175"/><Relationship Type="http://schemas.openxmlformats.org/officeDocument/2006/relationships/hyperlink" Target="https://finance.yahoo.com/news/digital-realty-declares-quarterly-cash-210500957.html?.tsrc=rss" TargetMode="External" Id="rId176"/><Relationship Type="http://schemas.openxmlformats.org/officeDocument/2006/relationships/hyperlink" Target="https://247wallst.com/investing/2026/02/19/3-reasons-nvidia-will-crush-earnings-on-february-25th/?.tsrc=rss" TargetMode="External" Id="rId177"/><Relationship Type="http://schemas.openxmlformats.org/officeDocument/2006/relationships/hyperlink" Target="https://finance.yahoo.com/m/7c6f8d77-bfd5-33ca-9955-368f0aa1ab9f/this-blue-collar-stock.html?.tsrc=rss" TargetMode="External" Id="rId178"/><Relationship Type="http://schemas.openxmlformats.org/officeDocument/2006/relationships/hyperlink" Target="https://www.fool.com/investing/2026/02/19/amazon-great-news-ai-chipmakeker-nvda-mrvl/?.tsrc=rss" TargetMode="External" Id="rId179"/><Relationship Type="http://schemas.openxmlformats.org/officeDocument/2006/relationships/hyperlink" Target="https://finance.yahoo.com/m/3c27df9a-525f-3649-9fda-d56a76b7cbda/nvidia-dumped-it%2C-cathie-wood.html?.tsrc=rss" TargetMode="External" Id="rId180"/><Relationship Type="http://schemas.openxmlformats.org/officeDocument/2006/relationships/hyperlink" Target="https://finance.yahoo.com/news/nvidia-intel-stake-recasts-ai-211003740.html?.tsrc=rss" TargetMode="External" Id="rId181"/><Relationship Type="http://schemas.openxmlformats.org/officeDocument/2006/relationships/hyperlink" Target="https://finance.yahoo.com/news/unveiling-nvidia-solution-center-grid-210500411.html?.tsrc=rss" TargetMode="External" Id="rId182"/><Relationship Type="http://schemas.openxmlformats.org/officeDocument/2006/relationships/hyperlink" Target="https://finance.yahoo.com/video/today-tech-openais-funding-nvidia-205920523.html?.tsrc=rss" TargetMode="External" Id="rId183"/><Relationship Type="http://schemas.openxmlformats.org/officeDocument/2006/relationships/hyperlink" Target="https://www.thestreet.com/investing/nvidia-ceo-shocks-ai-community-over-the-one-thing-he-didnt-do?.tsrc=rss" TargetMode="External" Id="rId184"/><Relationship Type="http://schemas.openxmlformats.org/officeDocument/2006/relationships/hyperlink" Target="https://finance.yahoo.com/news/dan-ives-says-apples-ai-223207379.html?.tsrc=rss" TargetMode="External" Id="rId185"/><Relationship Type="http://schemas.openxmlformats.org/officeDocument/2006/relationships/hyperlink" Target="https://finance.yahoo.com/m/ecd6b418-dd1b-31e7-a73d-8b28e24e3768/west-virginia-attorney.html?.tsrc=rss" TargetMode="External" Id="rId186"/><Relationship Type="http://schemas.openxmlformats.org/officeDocument/2006/relationships/hyperlink" Target="https://finance.yahoo.com/news/apple-tv-partners-everpass-media-190955633.html?.tsrc=rss" TargetMode="External" Id="rId187"/><Relationship Type="http://schemas.openxmlformats.org/officeDocument/2006/relationships/hyperlink" Target="https://finance.yahoo.com/news/everpass-media-apple-announce-distribution-170000386.html?.tsrc=rss" TargetMode="External" Id="rId188"/><Relationship Type="http://schemas.openxmlformats.org/officeDocument/2006/relationships/hyperlink" Target="https://finance.yahoo.com/news/apple-ai-wearables-push-extends-160956914.html?.tsrc=rss" TargetMode="External" Id="rId189"/><Relationship Type="http://schemas.openxmlformats.org/officeDocument/2006/relationships/hyperlink" Target="https://finance.yahoo.com/m/b737a784-6158-3aaa-8a79-35cd387aaa25/ai-stocks-reset-in-2026..html?.tsrc=rss" TargetMode="External" Id="rId190"/><Relationship Type="http://schemas.openxmlformats.org/officeDocument/2006/relationships/hyperlink" Target="https://finance.yahoo.com/news/badge-raises-17-1-million-140500733.html?.tsrc=rss" TargetMode="External" Id="rId191"/><Relationship Type="http://schemas.openxmlformats.org/officeDocument/2006/relationships/hyperlink" Target="https://www.barchart.com/story/news/304331/ignore-the-panic-and-keep-buying-apple-stock-according-to-wedbush?.tsrc=rss" TargetMode="External" Id="rId192"/><Relationship Type="http://schemas.openxmlformats.org/officeDocument/2006/relationships/hyperlink" Target="https://finance.yahoo.com/news/united-states-gift-card-business-122100483.html?.tsrc=rss" TargetMode="External" Id="rId193"/><Relationship Type="http://schemas.openxmlformats.org/officeDocument/2006/relationships/hyperlink" Target="https://finance.yahoo.com/news/sleep-aids-trends-technologies-global-114500365.html?.tsrc=rss" TargetMode="External" Id="rId194"/><Relationship Type="http://schemas.openxmlformats.org/officeDocument/2006/relationships/hyperlink" Target="https://finance.yahoo.com/news/microsoft-drives-26-arista-revenue-185939497.html?.tsrc=rss" TargetMode="External" Id="rId195"/><Relationship Type="http://schemas.openxmlformats.org/officeDocument/2006/relationships/hyperlink" Target="https://finance.yahoo.com/m/5075c0e8-769d-3b96-b6c0-973137f28d2e/microsoft-stock%3A-this.html?.tsrc=rss" TargetMode="External" Id="rId196"/><Relationship Type="http://schemas.openxmlformats.org/officeDocument/2006/relationships/hyperlink" Target="https://www.fool.com/investing/2026/02/19/down-15-should-you-buy-the-dip-on-microsoft/?.tsrc=rss" TargetMode="External" Id="rId197"/><Relationship Type="http://schemas.openxmlformats.org/officeDocument/2006/relationships/hyperlink" Target="https://finance.yahoo.com/news/broadcom-stock-isnt-cheap-why-143732580.html?.tsrc=rss" TargetMode="External" Id="rId198"/><Relationship Type="http://schemas.openxmlformats.org/officeDocument/2006/relationships/hyperlink" Target="https://finance.yahoo.com/news/broadcom-introduces-industry-first-6g-140000591.html?.tsrc=rss" TargetMode="External" Id="rId199"/><Relationship Type="http://schemas.openxmlformats.org/officeDocument/2006/relationships/hyperlink" Target="https://finance.yahoo.com/news/micron-2-more-profitable-stocks-200000245.html?.tsrc=rss" TargetMode="External" Id="rId200"/><Relationship Type="http://schemas.openxmlformats.org/officeDocument/2006/relationships/hyperlink" Target="https://finance.yahoo.com/news/micron-technology-faces-valuation-test-191407949.html?.tsrc=rss" TargetMode="External" Id="rId201"/><Relationship Type="http://schemas.openxmlformats.org/officeDocument/2006/relationships/hyperlink" Target="https://finance.yahoo.com/news/lam-research-boise-expansion-deepens-190814491.html?.tsrc=rss" TargetMode="External" Id="rId202"/><Relationship Type="http://schemas.openxmlformats.org/officeDocument/2006/relationships/hyperlink" Target="https://www.barchart.com/story/news/308988/micron-stock-with-valuation-still-attractive-mu-could-reach-500-by-2026?.tsrc=rss" TargetMode="External" Id="rId203"/><Relationship Type="http://schemas.openxmlformats.org/officeDocument/2006/relationships/hyperlink" Target="https://finance.yahoo.com/m/77747067-afe2-33a2-95d2-45b994ff0991/samsung-rises-on-report-of.html?.tsrc=rss" TargetMode="External" Id="rId204"/><Relationship Type="http://schemas.openxmlformats.org/officeDocument/2006/relationships/hyperlink" Target="https://www.fool.com/investing/2026/02/19/could-investing-10000-in-micron-technology-make-yo/?.tsrc=rss" TargetMode="External" Id="rId205"/><Relationship Type="http://schemas.openxmlformats.org/officeDocument/2006/relationships/hyperlink" Target="https://finance.yahoo.com/news/memory-cycle-changed-micron-proving-111418032.html?.tsrc=rss" TargetMode="External" Id="rId206"/><Relationship Type="http://schemas.openxmlformats.org/officeDocument/2006/relationships/hyperlink" Target="https://www.fool.com/investing/2026/02/19/is-micron-technology-a-buy/?.tsrc=rss" TargetMode="External" Id="rId207"/><Relationship Type="http://schemas.openxmlformats.org/officeDocument/2006/relationships/hyperlink" Target="https://finance.yahoo.com/news/zacks-investment-ideas-feature-highlights-092200361.html?.tsrc=rss" TargetMode="External" Id="rId208"/><Relationship Type="http://schemas.openxmlformats.org/officeDocument/2006/relationships/hyperlink" Target="https://finance.yahoo.com/news/market-chatter-advanced-micro-devices-194810264.html?.tsrc=rss" TargetMode="External" Id="rId209"/><Relationship Type="http://schemas.openxmlformats.org/officeDocument/2006/relationships/hyperlink" Target="https://finance.yahoo.com/news/amd-backstop-300-million-crusoe-191218204.html?.tsrc=rss" TargetMode="External" Id="rId210"/><Relationship Type="http://schemas.openxmlformats.org/officeDocument/2006/relationships/hyperlink" Target="https://www.fool.com/investing/2026/02/19/3-predictions-for-advanced-micro-devices-in-2026/?.tsrc=rss" TargetMode="External" Id="rId211"/><Relationship Type="http://schemas.openxmlformats.org/officeDocument/2006/relationships/hyperlink" Target="https://finance.yahoo.com/news/digitalocean-elevates-agentic-inference-cloud-140000647.html?.tsrc=rss" TargetMode="External" Id="rId212"/><Relationship Type="http://schemas.openxmlformats.org/officeDocument/2006/relationships/hyperlink" Target="https://www.investopedia.com/palantir-has-slumped-35-from-its-highs-mizuho-says-that-means-it-s-time-to-buy-the-stock-11909988?.tsrc=rss" TargetMode="External" Id="rId213"/><Relationship Type="http://schemas.openxmlformats.org/officeDocument/2006/relationships/hyperlink" Target="https://finance.yahoo.com/news/palantirs-moat-just-obstruction-data-193035323.html?.tsrc=rss" TargetMode="External" Id="rId214"/><Relationship Type="http://schemas.openxmlformats.org/officeDocument/2006/relationships/hyperlink" Target="https://www.barchart.com/story/news/311471/palantir-stock-just-got-cheaper-will-buying-the-recent-dip-pay-off?.tsrc=rss" TargetMode="External" Id="rId215"/><Relationship Type="http://schemas.openxmlformats.org/officeDocument/2006/relationships/hyperlink" Target="https://finance.yahoo.com/news/palantir-wins-partial-court-ruling-182134859.html?.tsrc=rss" TargetMode="External" Id="rId216"/><Relationship Type="http://schemas.openxmlformats.org/officeDocument/2006/relationships/hyperlink" Target="https://www.fool.com/investing/2026/02/19/palantir-has-a-vision-of-an-ai-first-world-will-it/?.tsrc=rss" TargetMode="External" Id="rId217"/><Relationship Type="http://schemas.openxmlformats.org/officeDocument/2006/relationships/hyperlink" Target="https://www.fool.com/investing/2026/02/19/palantir-vs-microsoft-stock-which-is-wall-street-m/?.tsrc=rss" TargetMode="External" Id="rId218"/><Relationship Type="http://schemas.openxmlformats.org/officeDocument/2006/relationships/hyperlink" Target="https://finance.yahoo.com/news/michael-burry-sounds-alarm-palantir-120101119.html?.tsrc=rss" TargetMode="External" Id="rId219"/><Relationship Type="http://schemas.openxmlformats.org/officeDocument/2006/relationships/hyperlink" Target="https://finance.yahoo.com/news/cisco-quantum-breakthrough-ai-push-211144395.html?.tsrc=rss" TargetMode="External" Id="rId220"/><Relationship Type="http://schemas.openxmlformats.org/officeDocument/2006/relationships/hyperlink" Target="https://finance.yahoo.com/news/wall-street-analysts-think-cisco-143003841.html?.tsrc=rss" TargetMode="External" Id="rId221"/><Relationship Type="http://schemas.openxmlformats.org/officeDocument/2006/relationships/hyperlink" Target="https://finance.yahoo.com/news/cisco-systems-csco-crossed-above-143002245.html?.tsrc=rss" TargetMode="External" Id="rId222"/><Relationship Type="http://schemas.openxmlformats.org/officeDocument/2006/relationships/hyperlink" Target="https://finance.yahoo.com/news/ciscos-partnerships-lisc-per-scholas-142000328.html?.tsrc=rss" TargetMode="External" Id="rId223"/><Relationship Type="http://schemas.openxmlformats.org/officeDocument/2006/relationships/hyperlink" Target="https://finance.yahoo.com/news/telecoms-greenest-vendors-research-report-090300776.html?.tsrc=rss" TargetMode="External" Id="rId224"/><Relationship Type="http://schemas.openxmlformats.org/officeDocument/2006/relationships/hyperlink" Target="https://finance.yahoo.com/news/ibm-ai-quantum-infrastructure-push-200902857.html?.tsrc=rss" TargetMode="External" Id="rId225"/><Relationship Type="http://schemas.openxmlformats.org/officeDocument/2006/relationships/hyperlink" Target="https://finance.yahoo.com/news/compared-estimates-southern-co-q4-153001013.html?.tsrc=rss" TargetMode="External" Id="rId226"/><Relationship Type="http://schemas.openxmlformats.org/officeDocument/2006/relationships/hyperlink" Target="https://finance.yahoo.com/news/southern-co-misses-q4-earnings-134001016.html?.tsrc=rss" TargetMode="External" Id="rId227"/><Relationship Type="http://schemas.openxmlformats.org/officeDocument/2006/relationships/hyperlink" Target="https://finance.yahoo.com/news/southern-co-raises-spending-plan-133908858.html?.tsrc=rss" TargetMode="External" Id="rId228"/><Relationship Type="http://schemas.openxmlformats.org/officeDocument/2006/relationships/hyperlink" Target="https://finance.yahoo.com/news/southern-co-q4-earnings-snapshot-123832280.html?.tsrc=rss" TargetMode="External" Id="rId229"/><Relationship Type="http://schemas.openxmlformats.org/officeDocument/2006/relationships/hyperlink" Target="https://finance.yahoo.com/news/southern-company-reports-fourth-quarter-123000239.html?.tsrc=rss" TargetMode="External" Id="rId230"/><Relationship Type="http://schemas.openxmlformats.org/officeDocument/2006/relationships/hyperlink" Target="https://finance.yahoo.com/news/sempra-sre-expected-beat-earnings-150010944.html?.tsrc=rss" TargetMode="External" Id="rId231"/><Relationship Type="http://schemas.openxmlformats.org/officeDocument/2006/relationships/hyperlink" Target="https://finance.yahoo.com/news/vistra-declares-dividend-common-stock-211500041.html?.tsrc=rss" TargetMode="External" Id="rId232"/><Relationship Type="http://schemas.openxmlformats.org/officeDocument/2006/relationships/hyperlink" Target="https://finance.yahoo.com/news/vistra-corp-vst-reports-next-150006706.html?.tsrc=rss" TargetMode="External" Id="rId233"/><Relationship Type="http://schemas.openxmlformats.org/officeDocument/2006/relationships/hyperlink" Target="https://finance.yahoo.com/news/exelon-commends-u-department-treasury-172200100.html?.tsrc=rss" TargetMode="External" Id="rId234"/><Relationship Type="http://schemas.openxmlformats.org/officeDocument/2006/relationships/hyperlink" Target="https://www.utilitydive.com/news/vpp-customer-owned-der-aggregators-challenge-xcel-owned-batteries-minnesota/812279/?.tsrc=rss" TargetMode="External" Id="rId2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5" customWidth="1" min="4" max="4"/>
    <col width="10" customWidth="1" min="5" max="5"/>
    <col width="12" customWidth="1" min="6" max="6"/>
    <col width="50" customWidth="1" min="7" max="7"/>
    <col width="40" customWidth="1" min="8" max="8"/>
    <col width="12" customWidth="1" min="9" max="9"/>
    <col width="70" customWidth="1" min="10" max="10"/>
    <col width="12" customWidth="1" min="11" max="11"/>
  </cols>
  <sheetData>
    <row r="1">
      <c r="A1" s="1" t="inlineStr">
        <is>
          <t>ETF</t>
        </is>
      </c>
      <c r="B1" s="1" t="inlineStr">
        <is>
          <t>Sector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Weight (%)</t>
        </is>
      </c>
      <c r="F1" s="1" t="inlineStr">
        <is>
          <t>Category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Pub Date</t>
        </is>
      </c>
      <c r="J1" s="1" t="inlineStr">
        <is>
          <t>Highlights</t>
        </is>
      </c>
      <c r="K1" s="1" t="inlineStr">
        <is>
          <t>Sentiment</t>
        </is>
      </c>
    </row>
    <row r="2">
      <c r="A2" s="2" t="inlineStr">
        <is>
          <t>XLC</t>
        </is>
      </c>
      <c r="B2" s="2">
        <f>== COMMUNICATION SERVICES ===</f>
        <v/>
      </c>
      <c r="C2" s="2" t="inlineStr">
        <is>
          <t>Simple: 0.1298</t>
        </is>
      </c>
      <c r="D2" s="2" t="inlineStr">
        <is>
          <t>Weighted: 0.1036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t="inlineStr">
        <is>
          <t>XLC</t>
        </is>
      </c>
      <c r="B3" t="inlineStr">
        <is>
          <t>Communication Services</t>
        </is>
      </c>
      <c r="C3" t="inlineStr">
        <is>
          <t>META</t>
        </is>
      </c>
      <c r="D3" t="inlineStr">
        <is>
          <t>Meta Platforms Inc Class A</t>
        </is>
      </c>
      <c r="E3" t="inlineStr">
        <is>
          <t>21.08</t>
        </is>
      </c>
      <c r="F3" t="inlineStr">
        <is>
          <t>General</t>
        </is>
      </c>
      <c r="G3" t="inlineStr">
        <is>
          <t>Meta cuts stock awards by 5% for most employees to fund AI goals, FT reports</t>
        </is>
      </c>
      <c r="H3" s="3" t="inlineStr">
        <is>
          <t>https://finance.yahoo.com/news/most-meta-staff-5-less-225305201.html?.tsrc=rss</t>
        </is>
      </c>
      <c r="I3" t="inlineStr">
        <is>
          <t>2026-02-19</t>
        </is>
      </c>
      <c r="J3" t="inlineStr">
        <is>
          <t>Meta cuts stock awards by 5% for most employees to fund AI g. Feb 19 (Reuters) - Meta reduced its annual distribution of stock options by ‌about 5% fo</t>
        </is>
      </c>
      <c r="K3" t="n">
        <v>-0.1797</v>
      </c>
    </row>
    <row r="4">
      <c r="A4" t="inlineStr">
        <is>
          <t>XLC</t>
        </is>
      </c>
      <c r="B4" t="inlineStr">
        <is>
          <t>Communication Services</t>
        </is>
      </c>
      <c r="C4" t="inlineStr">
        <is>
          <t>META</t>
        </is>
      </c>
      <c r="D4" t="inlineStr">
        <is>
          <t>Meta Platforms Inc Class A</t>
        </is>
      </c>
      <c r="E4" t="inlineStr">
        <is>
          <t>21.08</t>
        </is>
      </c>
      <c r="F4" t="inlineStr">
        <is>
          <t>General</t>
        </is>
      </c>
      <c r="G4" t="inlineStr">
        <is>
          <t>Meta’s $115 Billion AI Bet Puts NVIDIA at the Center of a Multi-Year Spending Cycle</t>
        </is>
      </c>
      <c r="H4" s="3" t="inlineStr">
        <is>
          <t>https://247wallst.com/investing/2026/02/19/metas-115-billion-ai-bet-puts-nvidia-at-the-center-of-a-multi-year-spending-cycle/?.tsrc=rss</t>
        </is>
      </c>
      <c r="I4" t="inlineStr">
        <is>
          <t>2026-02-19</t>
        </is>
      </c>
      <c r="J4" t="inlineStr">
        <is>
          <t>Meta’s $115 Billion AI Bet Puts NVIDIA at the Center of a Mu. Still the big name in the market today, NVIDIA (NASDAQ:NVDA) shares dipped over the past</t>
        </is>
      </c>
      <c r="K4" t="n">
        <v>-0.1492</v>
      </c>
    </row>
    <row r="5">
      <c r="A5" t="inlineStr">
        <is>
          <t>XLC</t>
        </is>
      </c>
      <c r="B5" t="inlineStr">
        <is>
          <t>Communication Services</t>
        </is>
      </c>
      <c r="C5" t="inlineStr">
        <is>
          <t>META</t>
        </is>
      </c>
      <c r="D5" t="inlineStr">
        <is>
          <t>Meta Platforms Inc Class A</t>
        </is>
      </c>
      <c r="E5" t="inlineStr">
        <is>
          <t>21.08</t>
        </is>
      </c>
      <c r="F5" t="inlineStr">
        <is>
          <t>General</t>
        </is>
      </c>
      <c r="G5" t="inlineStr">
        <is>
          <t>NVIDIA Expands AI Infrastructure Role With Meta And India’s Yotta Deals</t>
        </is>
      </c>
      <c r="H5" s="3" t="inlineStr">
        <is>
          <t>https://finance.yahoo.com/news/nvidia-expands-ai-infrastructure-role-171626112.html?.tsrc=rss</t>
        </is>
      </c>
      <c r="I5" t="inlineStr">
        <is>
          <t>2026-02-19</t>
        </is>
      </c>
      <c r="J5" t="inlineStr">
        <is>
          <t>NVIDIA Expands AI Infrastructure Role With Meta And India’s . NVIDIA (NasdaqGS:NVDA) agreed a multi year AI infrastructure partnership with Meta to su</t>
        </is>
      </c>
      <c r="K5" s="4" t="n">
        <v>0.5469000000000001</v>
      </c>
    </row>
    <row r="6">
      <c r="A6" t="inlineStr">
        <is>
          <t>XLC</t>
        </is>
      </c>
      <c r="B6" t="inlineStr">
        <is>
          <t>Communication Services</t>
        </is>
      </c>
      <c r="C6" t="inlineStr">
        <is>
          <t>VZ</t>
        </is>
      </c>
      <c r="D6" t="inlineStr">
        <is>
          <t>Verizon Communications Inc</t>
        </is>
      </c>
      <c r="E6" t="inlineStr">
        <is>
          <t>4.87</t>
        </is>
      </c>
      <c r="F6" t="inlineStr">
        <is>
          <t>Earnings</t>
        </is>
      </c>
      <c r="G6" t="inlineStr">
        <is>
          <t>Is Verizon (VZ) Pricing Reflect Long Term Value After Recent Share Price Rebound</t>
        </is>
      </c>
      <c r="H6" s="3" t="inlineStr">
        <is>
          <t>https://finance.yahoo.com/news/verizon-vz-pricing-reflect-long-160901855.html?.tsrc=rss</t>
        </is>
      </c>
      <c r="I6" t="inlineStr">
        <is>
          <t>2026-02-19</t>
        </is>
      </c>
      <c r="J6" t="inlineStr">
        <is>
          <t>Is Verizon (VZ) Pricing Reflect Long Term Value After Recent. Track your investments for FREE with Simply Wall St, the portfolio command center truste</t>
        </is>
      </c>
      <c r="K6" s="5" t="n">
        <v>0.2642</v>
      </c>
    </row>
    <row r="7">
      <c r="A7" t="inlineStr">
        <is>
          <t>XLC</t>
        </is>
      </c>
      <c r="B7" t="inlineStr">
        <is>
          <t>Communication Services</t>
        </is>
      </c>
      <c r="C7" t="inlineStr">
        <is>
          <t>VZ</t>
        </is>
      </c>
      <c r="D7" t="inlineStr">
        <is>
          <t>Verizon Communications Inc</t>
        </is>
      </c>
      <c r="E7" t="inlineStr">
        <is>
          <t>4.87</t>
        </is>
      </c>
      <c r="F7" t="inlineStr">
        <is>
          <t>General</t>
        </is>
      </c>
      <c r="G7" t="inlineStr">
        <is>
          <t>Verizon adds new rules, making leaving harder for customers</t>
        </is>
      </c>
      <c r="H7" s="3" t="inlineStr">
        <is>
          <t>https://www.thestreet.com/retail/verizon-adds-new-rules-making-leaving-harder-for-customers?.tsrc=rss</t>
        </is>
      </c>
      <c r="I7" t="inlineStr">
        <is>
          <t>2026-02-19</t>
        </is>
      </c>
      <c r="J7" t="inlineStr">
        <is>
          <t>Verizon adds new rules, making leaving harder for customers. Verizon has been struggling to retain loyal customers following recent price hikes and in</t>
        </is>
      </c>
      <c r="K7" s="6" t="n">
        <v>-0.6642</v>
      </c>
    </row>
    <row r="8">
      <c r="A8" t="inlineStr">
        <is>
          <t>XLC</t>
        </is>
      </c>
      <c r="B8" t="inlineStr">
        <is>
          <t>Communication Services</t>
        </is>
      </c>
      <c r="C8" t="inlineStr">
        <is>
          <t>VZ</t>
        </is>
      </c>
      <c r="D8" t="inlineStr">
        <is>
          <t>Verizon Communications Inc</t>
        </is>
      </c>
      <c r="E8" t="inlineStr">
        <is>
          <t>4.87</t>
        </is>
      </c>
      <c r="F8" t="inlineStr">
        <is>
          <t>Earnings</t>
        </is>
      </c>
      <c r="G8" t="inlineStr">
        <is>
          <t>Here Are Thursday’s Top Wall Street Analyst Research Calls: Analog Devices,  Chewy, Credo Technology</t>
        </is>
      </c>
      <c r="H8" s="3" t="inlineStr">
        <is>
          <t>https://247wallst.com/investing/2026/02/19/here-are-thursdays-top-wall-street-analyst-research-calls-analog-devices-chewy-credo-technology-ebay-fiverr-shopify-verizon-and-more/?.tsrc=rss</t>
        </is>
      </c>
      <c r="I8" t="inlineStr">
        <is>
          <t>2026-02-19</t>
        </is>
      </c>
      <c r="J8" t="inlineStr">
        <is>
          <t>Here Are Thursday’s Top Wall Street Analyst Research Calls: . Futures are trading lower on Thursday, as Walmart’s forward outlook was disappointing. R</t>
        </is>
      </c>
      <c r="K8" s="5" t="n">
        <v>0.2628</v>
      </c>
    </row>
    <row r="9">
      <c r="A9" t="inlineStr">
        <is>
          <t>XLC</t>
        </is>
      </c>
      <c r="B9" t="inlineStr">
        <is>
          <t>Communication Services</t>
        </is>
      </c>
      <c r="C9" t="inlineStr">
        <is>
          <t>NFLX</t>
        </is>
      </c>
      <c r="D9" t="inlineStr">
        <is>
          <t>Netflix Inc</t>
        </is>
      </c>
      <c r="E9" t="inlineStr">
        <is>
          <t>4.78</t>
        </is>
      </c>
      <c r="F9" t="inlineStr">
        <is>
          <t>Earnings</t>
        </is>
      </c>
      <c r="G9" t="inlineStr">
        <is>
          <t>Is Netflix Stock a Buy, Sell, or Hold in 2026?</t>
        </is>
      </c>
      <c r="H9" s="3" t="inlineStr">
        <is>
          <t>https://www.fool.com/investing/2026/02/19/is-netflix-stock-a-buy-sell-or-hold-in-2026/?.tsrc=rss</t>
        </is>
      </c>
      <c r="I9" t="inlineStr">
        <is>
          <t>2026-02-19</t>
        </is>
      </c>
      <c r="J9" t="inlineStr">
        <is>
          <t>Is Netflix Stock a Buy, Sell, or Hold in 2026?. Netflix shares have been battered, but its streaming dominance remains impressive. While Netflix (NFLX</t>
        </is>
      </c>
      <c r="K9" s="7" t="n">
        <v>-0.2426</v>
      </c>
    </row>
    <row r="10">
      <c r="A10" t="inlineStr">
        <is>
          <t>XLC</t>
        </is>
      </c>
      <c r="B10" t="inlineStr">
        <is>
          <t>Communication Services</t>
        </is>
      </c>
      <c r="C10" t="inlineStr">
        <is>
          <t>NFLX</t>
        </is>
      </c>
      <c r="D10" t="inlineStr">
        <is>
          <t>Netflix Inc</t>
        </is>
      </c>
      <c r="E10" t="inlineStr">
        <is>
          <t>4.78</t>
        </is>
      </c>
      <c r="F10" t="inlineStr">
        <is>
          <t>M&amp;A</t>
        </is>
      </c>
      <c r="G10" t="inlineStr">
        <is>
          <t>Exclusive-Netflix has ample room to increase its offer in battle for Warner Bros, sources say</t>
        </is>
      </c>
      <c r="H10" s="3" t="inlineStr">
        <is>
          <t>https://finance.yahoo.com/news/exclusive-netflix-ample-room-increase-174727437.html?.tsrc=rss</t>
        </is>
      </c>
      <c r="I10" t="inlineStr">
        <is>
          <t>2026-02-19</t>
        </is>
      </c>
      <c r="J10" t="inlineStr">
        <is>
          <t>Exclusive-Netflix has ample room to increase its offer in ba. By Amy-Jo Crowley and Milana Vinn Feb 19 (Reuters) - Netflix has ample cash and could bu</t>
        </is>
      </c>
      <c r="K10" s="5" t="n">
        <v>0.3488</v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NFLX</t>
        </is>
      </c>
      <c r="D11" t="inlineStr">
        <is>
          <t>Netflix Inc</t>
        </is>
      </c>
      <c r="E11" t="inlineStr">
        <is>
          <t>4.78</t>
        </is>
      </c>
      <c r="F11" t="inlineStr">
        <is>
          <t>Earnings</t>
        </is>
      </c>
      <c r="G11" t="inlineStr">
        <is>
          <t>Why Is Netflix (NFLX) Down 8.6% Since Last Earnings Report?</t>
        </is>
      </c>
      <c r="H11" s="3" t="inlineStr">
        <is>
          <t>https://finance.yahoo.com/news/why-netflix-nflx-down-8-163004140.html?.tsrc=rss</t>
        </is>
      </c>
      <c r="I11" t="inlineStr">
        <is>
          <t>2026-02-19</t>
        </is>
      </c>
      <c r="J11" t="inlineStr">
        <is>
          <t>Why Is Netflix (NFLX) Down 8.6% Since Last Earnings Report?. A month has gone by since the last earnings report for Netflix (NFLX). Shares have lost a</t>
        </is>
      </c>
      <c r="K11" s="4" t="n">
        <v>0.5675</v>
      </c>
    </row>
    <row r="12">
      <c r="A12" t="inlineStr">
        <is>
          <t>XLC</t>
        </is>
      </c>
      <c r="B12" t="inlineStr">
        <is>
          <t>Communication Services</t>
        </is>
      </c>
      <c r="C12" t="inlineStr">
        <is>
          <t>NFLX</t>
        </is>
      </c>
      <c r="D12" t="inlineStr">
        <is>
          <t>Netflix Inc</t>
        </is>
      </c>
      <c r="E12" t="inlineStr">
        <is>
          <t>4.78</t>
        </is>
      </c>
      <c r="F12" t="inlineStr">
        <is>
          <t>Earnings</t>
        </is>
      </c>
      <c r="G12" t="inlineStr">
        <is>
          <t>YouTube Threat Drives Netflix to 52-week Low</t>
        </is>
      </c>
      <c r="H12" s="3" t="inlineStr">
        <is>
          <t>https://247wallst.com/media/2026/02/19/youtube-threat-drives-netflix-to-52-week-low/?.tsrc=rss</t>
        </is>
      </c>
      <c r="I12" t="inlineStr">
        <is>
          <t>2026-02-19</t>
        </is>
      </c>
      <c r="J12" t="inlineStr">
        <is>
          <t>YouTube Threat Drives Netflix to 52-week Low. “YouTube Is Winning the Streaming Wars,” reads a recent headline from Barron’s. The general consensus is</t>
        </is>
      </c>
      <c r="K12" t="n">
        <v>-0.1787</v>
      </c>
    </row>
    <row r="13">
      <c r="A13" t="inlineStr">
        <is>
          <t>XLC</t>
        </is>
      </c>
      <c r="B13" t="inlineStr">
        <is>
          <t>Communication Services</t>
        </is>
      </c>
      <c r="C13" t="inlineStr">
        <is>
          <t>NFLX</t>
        </is>
      </c>
      <c r="D13" t="inlineStr">
        <is>
          <t>Netflix Inc</t>
        </is>
      </c>
      <c r="E13" t="inlineStr">
        <is>
          <t>4.78</t>
        </is>
      </c>
      <c r="F13" t="inlineStr">
        <is>
          <t>Earnings</t>
        </is>
      </c>
      <c r="G13" t="inlineStr">
        <is>
          <t>Netflix vs. Comcast: Which Media Stock Has an Edge Right Now?</t>
        </is>
      </c>
      <c r="H13" s="3" t="inlineStr">
        <is>
          <t>https://finance.yahoo.com/news/netflix-vs-comcast-media-stock-135400984.html?.tsrc=rss</t>
        </is>
      </c>
      <c r="I13" t="inlineStr">
        <is>
          <t>2026-02-19</t>
        </is>
      </c>
      <c r="J13" t="inlineStr">
        <is>
          <t xml:space="preserve">Netflix vs. Comcast: Which Media Stock Has an Edge Right Now. Netflix NFLX and Comcast CMCSA are two prominent American media companies competing for </t>
        </is>
      </c>
      <c r="K13" s="4" t="n">
        <v>0.6621</v>
      </c>
    </row>
    <row r="14">
      <c r="A14" t="inlineStr">
        <is>
          <t>XLC</t>
        </is>
      </c>
      <c r="B14" t="inlineStr">
        <is>
          <t>Communication Services</t>
        </is>
      </c>
      <c r="C14" t="inlineStr">
        <is>
          <t>T</t>
        </is>
      </c>
      <c r="D14" t="inlineStr">
        <is>
          <t>AT&amp;T Inc</t>
        </is>
      </c>
      <c r="E14" t="inlineStr">
        <is>
          <t>4.70</t>
        </is>
      </c>
      <c r="F14" t="inlineStr">
        <is>
          <t>M&amp;A</t>
        </is>
      </c>
      <c r="G14" t="inlineStr">
        <is>
          <t>AT&amp;T Diversity Lawsuit Puts Governance And Valuation In Investor Focus</t>
        </is>
      </c>
      <c r="H14" s="3" t="inlineStr">
        <is>
          <t>https://finance.yahoo.com/news/t-diversity-lawsuit-puts-governance-121054233.html?.tsrc=rss</t>
        </is>
      </c>
      <c r="I14" t="inlineStr">
        <is>
          <t>2026-02-19</t>
        </is>
      </c>
      <c r="J14" t="inlineStr">
        <is>
          <t>AT&amp;T Diversity Lawsuit Puts Governance And Valuation In Inve. Never miss an important update on your stock portfolio and cut through the noise. Over 7</t>
        </is>
      </c>
      <c r="K14" t="n">
        <v>0.0238</v>
      </c>
    </row>
    <row r="15">
      <c r="A15" t="inlineStr">
        <is>
          <t>XLC</t>
        </is>
      </c>
      <c r="B15" t="inlineStr">
        <is>
          <t>Communication Services</t>
        </is>
      </c>
      <c r="C15" t="inlineStr">
        <is>
          <t>DIS</t>
        </is>
      </c>
      <c r="D15" t="inlineStr">
        <is>
          <t>The Walt Disney Co</t>
        </is>
      </c>
      <c r="E15" t="inlineStr">
        <is>
          <t>4.53</t>
        </is>
      </c>
      <c r="F15" t="inlineStr">
        <is>
          <t>Earnings</t>
        </is>
      </c>
      <c r="G15" t="inlineStr">
        <is>
          <t>TheViewPoint rebrands to Upstream, Launches Direct Sales Automation Platform for CTV Publishers</t>
        </is>
      </c>
      <c r="H15" s="3" t="inlineStr">
        <is>
          <t>https://finance.yahoo.com/news/theviewpoint-rebrands-upstream-launches-direct-140000379.html?.tsrc=rss</t>
        </is>
      </c>
      <c r="I15" t="inlineStr">
        <is>
          <t>2026-02-19</t>
        </is>
      </c>
      <c r="J15" t="inlineStr">
        <is>
          <t>TheViewPoint rebrands to Upstream, Launches Direct Sales Aut. New product automates direct-sales process for maximum publisher efficiency, launches in</t>
        </is>
      </c>
      <c r="K15" s="5" t="n">
        <v>0.4259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inlineStr">
        <is>
          <t>XLY</t>
        </is>
      </c>
      <c r="B17" s="2">
        <f>== CONSUMER DISCRETIONARY ===</f>
        <v/>
      </c>
      <c r="C17" s="2" t="inlineStr">
        <is>
          <t>Simple: 0.2641</t>
        </is>
      </c>
      <c r="D17" s="2" t="inlineStr">
        <is>
          <t>Weighted: 0.2765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t="inlineStr">
        <is>
          <t>XLY</t>
        </is>
      </c>
      <c r="B18" t="inlineStr">
        <is>
          <t>Consumer Discretionary</t>
        </is>
      </c>
      <c r="C18" t="inlineStr">
        <is>
          <t>AMZN</t>
        </is>
      </c>
      <c r="D18" t="inlineStr">
        <is>
          <t>Amazon.com Inc</t>
        </is>
      </c>
      <c r="E18" t="inlineStr">
        <is>
          <t>23.42</t>
        </is>
      </c>
      <c r="F18" t="inlineStr">
        <is>
          <t>General</t>
        </is>
      </c>
      <c r="G18" t="inlineStr">
        <is>
          <t>Big Money Sees Big Value in Amazon: Should You Buy AMZN Stock Too?</t>
        </is>
      </c>
      <c r="H18" s="3" t="inlineStr">
        <is>
          <t>https://www.barchart.com/story/news/311393/big-money-sees-big-value-in-amazon-should-you-buy-amzn-stock-too?.tsrc=rss</t>
        </is>
      </c>
      <c r="I18" t="inlineStr">
        <is>
          <t>2026-02-19</t>
        </is>
      </c>
      <c r="J18" t="inlineStr">
        <is>
          <t>Big Money Sees Big Value in Amazon: Should You Buy AMZN Stoc. Seth Klarman, Bill Ackman, and Stanley Druckenmiller added Amazon shares in Q4 2025. Sho</t>
        </is>
      </c>
      <c r="K18" s="5" t="n">
        <v>0.2443</v>
      </c>
    </row>
    <row r="19">
      <c r="A19" t="inlineStr">
        <is>
          <t>XLY</t>
        </is>
      </c>
      <c r="B19" t="inlineStr">
        <is>
          <t>Consumer Discretionary</t>
        </is>
      </c>
      <c r="C19" t="inlineStr">
        <is>
          <t>TSLA</t>
        </is>
      </c>
      <c r="D19" t="inlineStr">
        <is>
          <t>Tesla Inc</t>
        </is>
      </c>
      <c r="E19" t="inlineStr">
        <is>
          <t>19.55</t>
        </is>
      </c>
      <c r="F19" t="inlineStr">
        <is>
          <t>General</t>
        </is>
      </c>
      <c r="G19" t="inlineStr">
        <is>
          <t>Why Tesla is facing a retail vs. institutional investor tug-of-war</t>
        </is>
      </c>
      <c r="H19" s="3" t="inlineStr">
        <is>
          <t>https://finance.yahoo.com/video/why-tesla-facing-retail-vs-213018287.html?.tsrc=rss</t>
        </is>
      </c>
      <c r="I19" t="inlineStr">
        <is>
          <t>2026-02-19</t>
        </is>
      </c>
      <c r="J19" t="inlineStr">
        <is>
          <t>Why Tesla is facing a retail vs. institutional investor tug-. Institutional investors have been selling their Tesla (TSLA) stakes, while retail invest</t>
        </is>
      </c>
      <c r="K19" t="n">
        <v>0.1478</v>
      </c>
    </row>
    <row r="20">
      <c r="A20" t="inlineStr">
        <is>
          <t>XLY</t>
        </is>
      </c>
      <c r="B20" t="inlineStr">
        <is>
          <t>Consumer Discretionary</t>
        </is>
      </c>
      <c r="C20" t="inlineStr">
        <is>
          <t>TSLA</t>
        </is>
      </c>
      <c r="D20" t="inlineStr">
        <is>
          <t>Tesla Inc</t>
        </is>
      </c>
      <c r="E20" t="inlineStr">
        <is>
          <t>19.55</t>
        </is>
      </c>
      <c r="F20" t="inlineStr">
        <is>
          <t>Earnings</t>
        </is>
      </c>
      <c r="G20" t="inlineStr">
        <is>
          <t>Where Will Tesla Be in 1 Year?</t>
        </is>
      </c>
      <c r="H20" s="3" t="inlineStr">
        <is>
          <t>https://www.fool.com/investing/2026/02/19/where-will-tesla-be-in-1-year/?.tsrc=rss</t>
        </is>
      </c>
      <c r="I20" t="inlineStr">
        <is>
          <t>2026-02-19</t>
        </is>
      </c>
      <c r="J20" t="inlineStr">
        <is>
          <t>Where Will Tesla Be in 1 Year?. If you think the past year was interesting, the year ahead can come with even more twists and surprises. A lot can hap</t>
        </is>
      </c>
      <c r="K20" t="n">
        <v>0.1319</v>
      </c>
    </row>
    <row r="21">
      <c r="A21" t="inlineStr">
        <is>
          <t>XLY</t>
        </is>
      </c>
      <c r="B21" t="inlineStr">
        <is>
          <t>Consumer Discretionary</t>
        </is>
      </c>
      <c r="C21" t="inlineStr">
        <is>
          <t>TSLA</t>
        </is>
      </c>
      <c r="D21" t="inlineStr">
        <is>
          <t>Tesla Inc</t>
        </is>
      </c>
      <c r="E21" t="inlineStr">
        <is>
          <t>19.55</t>
        </is>
      </c>
      <c r="F21" t="inlineStr">
        <is>
          <t>Product</t>
        </is>
      </c>
      <c r="G21" t="inlineStr">
        <is>
          <t>Global Battery Market Forecast and Company Analysis Report 2025-2033 Featuring Robert Bosch, A123 Sy</t>
        </is>
      </c>
      <c r="H21" s="3" t="inlineStr">
        <is>
          <t>https://finance.yahoo.com/news/global-battery-market-forecast-company-163200644.html?.tsrc=rss</t>
        </is>
      </c>
      <c r="I21" t="inlineStr">
        <is>
          <t>2026-02-19</t>
        </is>
      </c>
      <c r="J21" t="inlineStr">
        <is>
          <t>Global Battery Market Forecast and Company Analysis Report 2. The Battery Market is set to soar to US$ 468. 07 Billion by 2033, growing at a CAGR of 1</t>
        </is>
      </c>
      <c r="K21" s="4" t="n">
        <v>0.7133</v>
      </c>
    </row>
    <row r="22">
      <c r="A22" t="inlineStr">
        <is>
          <t>XLY</t>
        </is>
      </c>
      <c r="B22" t="inlineStr">
        <is>
          <t>Consumer Discretionary</t>
        </is>
      </c>
      <c r="C22" t="inlineStr">
        <is>
          <t>TSLA</t>
        </is>
      </c>
      <c r="D22" t="inlineStr">
        <is>
          <t>Tesla Inc</t>
        </is>
      </c>
      <c r="E22" t="inlineStr">
        <is>
          <t>19.55</t>
        </is>
      </c>
      <c r="F22" t="inlineStr">
        <is>
          <t>Earnings</t>
        </is>
      </c>
      <c r="G22" t="inlineStr">
        <is>
          <t>The Shocking, Futuristic Reason Why Elon Musk Is Stopping Production of 2 Tesla Models</t>
        </is>
      </c>
      <c r="H22" s="3" t="inlineStr">
        <is>
          <t>https://www.barchart.com/story/news/307719/the-shocking-futuristic-reason-why-elon-musk-is-stopping-production-of-2-tesla-models?.tsrc=rss</t>
        </is>
      </c>
      <c r="I22" t="inlineStr">
        <is>
          <t>2026-02-19</t>
        </is>
      </c>
      <c r="J22" t="inlineStr">
        <is>
          <t xml:space="preserve">The Shocking, Futuristic Reason Why Elon Musk Is Stopping Pr. All information and data in this article is solely for informational purposes. For more </t>
        </is>
      </c>
      <c r="K22" s="5" t="n">
        <v>0.2079</v>
      </c>
    </row>
    <row r="23">
      <c r="A23" t="inlineStr">
        <is>
          <t>XLY</t>
        </is>
      </c>
      <c r="B23" t="inlineStr">
        <is>
          <t>Consumer Discretionary</t>
        </is>
      </c>
      <c r="C23" t="inlineStr">
        <is>
          <t>TSLA</t>
        </is>
      </c>
      <c r="D23" t="inlineStr">
        <is>
          <t>Tesla Inc</t>
        </is>
      </c>
      <c r="E23" t="inlineStr">
        <is>
          <t>19.55</t>
        </is>
      </c>
      <c r="F23" t="inlineStr">
        <is>
          <t>Product</t>
        </is>
      </c>
      <c r="G23" t="inlineStr">
        <is>
          <t>Elon Musk Reiterates April Production Goal For Tesla's Cybercab, Says It Will Be 'Very Slow In The B</t>
        </is>
      </c>
      <c r="H23" s="3" t="inlineStr">
        <is>
          <t>https://finance.yahoo.com/news/elon-musk-reiterates-april-production-153035620.html?.tsrc=rss</t>
        </is>
      </c>
      <c r="I23" t="inlineStr">
        <is>
          <t>2026-02-19</t>
        </is>
      </c>
      <c r="J23" t="inlineStr">
        <is>
          <t>Elon Musk Reiterates April Production Goal For Tesla's Cyber. (NASDAQ:TSLA) CEO Elon Musk has reiterated the April production goal for the upcoming Cy</t>
        </is>
      </c>
      <c r="K23" t="n">
        <v>0.1581</v>
      </c>
    </row>
    <row r="24">
      <c r="A24" t="inlineStr">
        <is>
          <t>XLY</t>
        </is>
      </c>
      <c r="B24" t="inlineStr">
        <is>
          <t>Consumer Discretionary</t>
        </is>
      </c>
      <c r="C24" t="inlineStr">
        <is>
          <t>MCD</t>
        </is>
      </c>
      <c r="D24" t="inlineStr">
        <is>
          <t>McDonald's Corp</t>
        </is>
      </c>
      <c r="E24" t="inlineStr">
        <is>
          <t>4.50</t>
        </is>
      </c>
      <c r="F24" t="inlineStr">
        <is>
          <t>Earnings</t>
        </is>
      </c>
      <c r="G24" t="inlineStr">
        <is>
          <t>McDonald's CapEx Steps Higher: What's Supporting the ROI Case?</t>
        </is>
      </c>
      <c r="H24" s="3" t="inlineStr">
        <is>
          <t>https://finance.yahoo.com/news/mcdonalds-capex-steps-higher-whats-170500233.html?.tsrc=rss</t>
        </is>
      </c>
      <c r="I24" t="inlineStr">
        <is>
          <t>2026-02-19</t>
        </is>
      </c>
      <c r="J24" t="inlineStr">
        <is>
          <t>McDonald's CapEx Steps Higher: What's Supporting the ROI Cas. McDonald’s Corporation MCD exited 2025 with an acceleration in capital investment plans,</t>
        </is>
      </c>
      <c r="K24" s="4" t="n">
        <v>0.838</v>
      </c>
    </row>
    <row r="25">
      <c r="A25" t="inlineStr">
        <is>
          <t>XLY</t>
        </is>
      </c>
      <c r="B25" t="inlineStr">
        <is>
          <t>Consumer Discretionary</t>
        </is>
      </c>
      <c r="C25" t="inlineStr">
        <is>
          <t>MCD</t>
        </is>
      </c>
      <c r="D25" t="inlineStr">
        <is>
          <t>McDonald's Corp</t>
        </is>
      </c>
      <c r="E25" t="inlineStr">
        <is>
          <t>4.50</t>
        </is>
      </c>
      <c r="F25" t="inlineStr">
        <is>
          <t>Earnings</t>
        </is>
      </c>
      <c r="G25" t="inlineStr">
        <is>
          <t>McDonald's Corporation (MCD) is Attracting Investor Attention: Here is What You Should Know</t>
        </is>
      </c>
      <c r="H25" s="3" t="inlineStr">
        <is>
          <t>https://finance.yahoo.com/news/mcdonalds-corporation-mcd-attracting-investor-140006555.html?.tsrc=rss</t>
        </is>
      </c>
      <c r="I25" t="inlineStr">
        <is>
          <t>2026-02-19</t>
        </is>
      </c>
      <c r="J25" t="inlineStr">
        <is>
          <t>McDonald's Corporation (MCD) is Attracting Investor Attentio. McDonald's (MCD) has been one of the most searched-for stocks on Zacks. So, you might wa</t>
        </is>
      </c>
      <c r="K25" s="5" t="n">
        <v>0.2618</v>
      </c>
    </row>
    <row r="26">
      <c r="A26" t="inlineStr">
        <is>
          <t>XLY</t>
        </is>
      </c>
      <c r="B26" t="inlineStr">
        <is>
          <t>Consumer Discretionary</t>
        </is>
      </c>
      <c r="C26" t="inlineStr">
        <is>
          <t>MCD</t>
        </is>
      </c>
      <c r="D26" t="inlineStr">
        <is>
          <t>McDonald's Corp</t>
        </is>
      </c>
      <c r="E26" t="inlineStr">
        <is>
          <t>4.50</t>
        </is>
      </c>
      <c r="F26" t="inlineStr">
        <is>
          <t>Earnings</t>
        </is>
      </c>
      <c r="G26" t="inlineStr">
        <is>
          <t>The Zacks Analyst Blog  Applied Materials, McDonald's, Texas Instruments and Lulu's Fashion Lounge</t>
        </is>
      </c>
      <c r="H26" s="3" t="inlineStr">
        <is>
          <t>https://finance.yahoo.com/news/zacks-analyst-blog-applied-materials-085000912.html?.tsrc=rss</t>
        </is>
      </c>
      <c r="I26" t="inlineStr">
        <is>
          <t>2026-02-19</t>
        </is>
      </c>
      <c r="J26" t="inlineStr">
        <is>
          <t>The Zacks Analyst Blog  Applied Materials, McDonald's, Texas. Chicago, IL – February 19, 2026 – Zacks. com announces the list of stocks featured in th</t>
        </is>
      </c>
      <c r="K26" s="5" t="n">
        <v>0.3963</v>
      </c>
    </row>
    <row r="27">
      <c r="A27" t="inlineStr">
        <is>
          <t>XLY</t>
        </is>
      </c>
      <c r="B27" t="inlineStr">
        <is>
          <t>Consumer Discretionary</t>
        </is>
      </c>
      <c r="C27" t="inlineStr">
        <is>
          <t>BKNG</t>
        </is>
      </c>
      <c r="D27" t="inlineStr">
        <is>
          <t>Booking Holdings Inc</t>
        </is>
      </c>
      <c r="E27" t="inlineStr">
        <is>
          <t>3.64</t>
        </is>
      </c>
      <c r="F27" t="inlineStr">
        <is>
          <t>Earnings</t>
        </is>
      </c>
      <c r="G27" t="inlineStr">
        <is>
          <t>Booking Approves 25-for-1 Split After 16,831% Stock Surge</t>
        </is>
      </c>
      <c r="H27" s="3" t="inlineStr">
        <is>
          <t>https://finance.yahoo.com/news/booking-approves-25-1-split-200518547.html?.tsrc=rss</t>
        </is>
      </c>
      <c r="I27" t="inlineStr">
        <is>
          <t>2026-02-19</t>
        </is>
      </c>
      <c r="J27" t="inlineStr">
        <is>
          <t>Booking Approves 25-for-1 Split After 16,831% Stock Surge. This article first appeared on GuruFocus. Booking Holdings (NASDAQ:BKNG) is taking delibera</t>
        </is>
      </c>
      <c r="K27" s="5" t="n">
        <v>0.4334</v>
      </c>
    </row>
    <row r="28">
      <c r="A28" t="inlineStr">
        <is>
          <t>XLY</t>
        </is>
      </c>
      <c r="B28" t="inlineStr">
        <is>
          <t>Consumer Discretionary</t>
        </is>
      </c>
      <c r="C28" t="inlineStr">
        <is>
          <t>BKNG</t>
        </is>
      </c>
      <c r="D28" t="inlineStr">
        <is>
          <t>Booking Holdings Inc</t>
        </is>
      </c>
      <c r="E28" t="inlineStr">
        <is>
          <t>3.64</t>
        </is>
      </c>
      <c r="F28" t="inlineStr">
        <is>
          <t>Earnings</t>
        </is>
      </c>
      <c r="G28" t="inlineStr">
        <is>
          <t>Down 32%, Booking Holdings Announces 25-to-1 Stock Split. Time to Buy?</t>
        </is>
      </c>
      <c r="H28" s="3" t="inlineStr">
        <is>
          <t>https://247wallst.com/investing/2026/02/19/down-32-booking-holdings-announces-25-to-1-stock-split-time-to-buy/?.tsrc=rss</t>
        </is>
      </c>
      <c r="I28" t="inlineStr">
        <is>
          <t>2026-02-19</t>
        </is>
      </c>
      <c r="J28" t="inlineStr">
        <is>
          <t>Down 32%, Booking Holdings Announces 25-to-1 Stock Split. Ti. Booking Holdings (NASDAQ:BKNG) just reported fourth-quarter results that beat top and bo</t>
        </is>
      </c>
      <c r="K28" s="4" t="n">
        <v>0.5533</v>
      </c>
    </row>
    <row r="29">
      <c r="A29" t="inlineStr">
        <is>
          <t>XLY</t>
        </is>
      </c>
      <c r="B29" t="inlineStr">
        <is>
          <t>Consumer Discretionary</t>
        </is>
      </c>
      <c r="C29" t="inlineStr">
        <is>
          <t>BKNG</t>
        </is>
      </c>
      <c r="D29" t="inlineStr">
        <is>
          <t>Booking Holdings Inc</t>
        </is>
      </c>
      <c r="E29" t="inlineStr">
        <is>
          <t>3.64</t>
        </is>
      </c>
      <c r="F29" t="inlineStr">
        <is>
          <t>Earnings</t>
        </is>
      </c>
      <c r="G29" t="inlineStr">
        <is>
          <t>Why Booking (BKNG) Shares Are Falling Today</t>
        </is>
      </c>
      <c r="H29" s="3" t="inlineStr">
        <is>
          <t>https://finance.yahoo.com/news/why-booking-bkng-shares-falling-170601152.html?.tsrc=rss</t>
        </is>
      </c>
      <c r="I29" t="inlineStr">
        <is>
          <t>2026-02-19</t>
        </is>
      </c>
      <c r="J29" t="inlineStr">
        <is>
          <t>Why Booking (BKNG) Shares Are Falling Today. Shares of online travel agency Booking Holdings (NASDAQ:BKNG) fell 7. 4% in the morning session after its</t>
        </is>
      </c>
      <c r="K29" s="7" t="n">
        <v>-0.2489</v>
      </c>
    </row>
    <row r="30">
      <c r="A30" t="inlineStr">
        <is>
          <t>XLY</t>
        </is>
      </c>
      <c r="B30" t="inlineStr">
        <is>
          <t>Consumer Discretionary</t>
        </is>
      </c>
      <c r="C30" t="inlineStr">
        <is>
          <t>BKNG</t>
        </is>
      </c>
      <c r="D30" t="inlineStr">
        <is>
          <t>Booking Holdings Inc</t>
        </is>
      </c>
      <c r="E30" t="inlineStr">
        <is>
          <t>3.64</t>
        </is>
      </c>
      <c r="F30" t="inlineStr">
        <is>
          <t>Earnings</t>
        </is>
      </c>
      <c r="G30" t="inlineStr">
        <is>
          <t>Booking Holdings' Higher Investments in 2026 to Drive Top-Line Growth, BofA Says</t>
        </is>
      </c>
      <c r="H30" s="3" t="inlineStr">
        <is>
          <t>https://finance.yahoo.com/news/booking-holdings-apos-higher-investments-161357337.html?.tsrc=rss</t>
        </is>
      </c>
      <c r="I30" t="inlineStr">
        <is>
          <t>2026-02-19</t>
        </is>
      </c>
      <c r="J30" t="inlineStr">
        <is>
          <t>Booking Holdings' Higher Investments in 2026 to Drive Top-Li. Booking Holdings (BKNG) had a solid Q4 and outlook for Q1 appears achievable on Europe r</t>
        </is>
      </c>
      <c r="K30" s="4" t="n">
        <v>0.7927</v>
      </c>
    </row>
    <row r="31">
      <c r="A31" t="inlineStr">
        <is>
          <t>XLY</t>
        </is>
      </c>
      <c r="B31" t="inlineStr">
        <is>
          <t>Consumer Discretionary</t>
        </is>
      </c>
      <c r="C31" t="inlineStr">
        <is>
          <t>BKNG</t>
        </is>
      </c>
      <c r="D31" t="inlineStr">
        <is>
          <t>Booking Holdings Inc</t>
        </is>
      </c>
      <c r="E31" t="inlineStr">
        <is>
          <t>3.64</t>
        </is>
      </c>
      <c r="F31" t="inlineStr">
        <is>
          <t>General</t>
        </is>
      </c>
      <c r="G31" t="inlineStr">
        <is>
          <t>Booking Navigates AI Agent Debate From Position of Strength, Wedbush Says</t>
        </is>
      </c>
      <c r="H31" s="3" t="inlineStr">
        <is>
          <t>https://finance.yahoo.com/news/booking-navigates-ai-agent-debate-160146811.html?.tsrc=rss</t>
        </is>
      </c>
      <c r="I31" t="inlineStr">
        <is>
          <t>2026-02-19</t>
        </is>
      </c>
      <c r="J31" t="inlineStr">
        <is>
          <t>Booking Navigates AI Agent Debate From Position of Strength,. Booking (BKNG) is navigating the industry's AI "agent" debate from a position of strengt</t>
        </is>
      </c>
      <c r="K31" s="5" t="n">
        <v>0.2748</v>
      </c>
    </row>
    <row r="32">
      <c r="A32" t="inlineStr">
        <is>
          <t>XLY</t>
        </is>
      </c>
      <c r="B32" t="inlineStr">
        <is>
          <t>Consumer Discretionary</t>
        </is>
      </c>
      <c r="C32" t="inlineStr">
        <is>
          <t>BKNG</t>
        </is>
      </c>
      <c r="D32" t="inlineStr">
        <is>
          <t>Booking Holdings Inc</t>
        </is>
      </c>
      <c r="E32" t="inlineStr">
        <is>
          <t>3.64</t>
        </is>
      </c>
      <c r="F32" t="inlineStr">
        <is>
          <t>Earnings</t>
        </is>
      </c>
      <c r="G32" t="inlineStr">
        <is>
          <t>Booking Tops Forecasts but Tumbles 9% as Travel Demand Shows Signs of Cooling</t>
        </is>
      </c>
      <c r="H32" s="3" t="inlineStr">
        <is>
          <t>https://247wallst.com/investing/2026/02/19/booking-tops-forecasts-but-tumbles-9-as-travel-demand-shows-signs-of-cooling/?.tsrc=rss</t>
        </is>
      </c>
      <c r="I32" t="inlineStr">
        <is>
          <t>2026-02-19</t>
        </is>
      </c>
      <c r="J32" t="inlineStr">
        <is>
          <t xml:space="preserve">Booking Tops Forecasts but Tumbles 9% as Travel Demand Shows. Booking Holdings (NASDAQ: BKNG) posted Q4 2025 results yesterday evening, reporting $6. </t>
        </is>
      </c>
      <c r="K32" s="4" t="n">
        <v>0.575</v>
      </c>
    </row>
    <row r="33">
      <c r="A33" t="inlineStr">
        <is>
          <t>XLY</t>
        </is>
      </c>
      <c r="B33" t="inlineStr">
        <is>
          <t>Consumer Discretionary</t>
        </is>
      </c>
      <c r="C33" t="inlineStr">
        <is>
          <t>BKNG</t>
        </is>
      </c>
      <c r="D33" t="inlineStr">
        <is>
          <t>Booking Holdings Inc</t>
        </is>
      </c>
      <c r="E33" t="inlineStr">
        <is>
          <t>3.64</t>
        </is>
      </c>
      <c r="F33" t="inlineStr">
        <is>
          <t>Earnings</t>
        </is>
      </c>
      <c r="G33" t="inlineStr">
        <is>
          <t>Chewy, Carvana, Booking Holdings: Top Analyst Calls</t>
        </is>
      </c>
      <c r="H33" s="3" t="inlineStr">
        <is>
          <t>https://finance.yahoo.com/video/chewy-carvana-booking-holdings-top-155204737.html?.tsrc=rss</t>
        </is>
      </c>
      <c r="I33" t="inlineStr">
        <is>
          <t>2026-02-19</t>
        </is>
      </c>
      <c r="J33" t="inlineStr">
        <is>
          <t xml:space="preserve">Chewy, Carvana, Booking Holdings: Top Analyst Calls. Yahoo Finance Senior Reporter Brooke DiPalma keeps track of several Wall Street analyst calls on </t>
        </is>
      </c>
      <c r="K33" s="7" t="n">
        <v>-0.345</v>
      </c>
    </row>
    <row r="34">
      <c r="A34" t="inlineStr">
        <is>
          <t>XLY</t>
        </is>
      </c>
      <c r="B34" t="inlineStr">
        <is>
          <t>Consumer Discretionary</t>
        </is>
      </c>
      <c r="C34" t="inlineStr">
        <is>
          <t>BKNG</t>
        </is>
      </c>
      <c r="D34" t="inlineStr">
        <is>
          <t>Booking Holdings Inc</t>
        </is>
      </c>
      <c r="E34" t="inlineStr">
        <is>
          <t>3.64</t>
        </is>
      </c>
      <c r="F34" t="inlineStr">
        <is>
          <t>Earnings</t>
        </is>
      </c>
      <c r="G34" t="inlineStr">
        <is>
          <t>BKNG Q4 Deep Dive: AI Investment and Marketing Spend Shape Mixed Market Reaction</t>
        </is>
      </c>
      <c r="H34" s="3" t="inlineStr">
        <is>
          <t>https://finance.yahoo.com/news/bkng-q4-deep-dive-ai-155046946.html?.tsrc=rss</t>
        </is>
      </c>
      <c r="I34" t="inlineStr">
        <is>
          <t>2026-02-19</t>
        </is>
      </c>
      <c r="J34" t="inlineStr">
        <is>
          <t>BKNG Q4 Deep Dive: AI Investment and Marketing Spend Shape M. Online travel agency Booking Holdings (NASDAQ:BKNG) reported Q4 CY2025 results beating W</t>
        </is>
      </c>
      <c r="K34" s="5" t="n">
        <v>0.254</v>
      </c>
    </row>
    <row r="35">
      <c r="A35" t="inlineStr">
        <is>
          <t>XLY</t>
        </is>
      </c>
      <c r="B35" t="inlineStr">
        <is>
          <t>Consumer Discretionary</t>
        </is>
      </c>
      <c r="C35" t="inlineStr">
        <is>
          <t>BKNG</t>
        </is>
      </c>
      <c r="D35" t="inlineStr">
        <is>
          <t>Booking Holdings Inc</t>
        </is>
      </c>
      <c r="E35" t="inlineStr">
        <is>
          <t>3.64</t>
        </is>
      </c>
      <c r="F35" t="inlineStr">
        <is>
          <t>Earnings</t>
        </is>
      </c>
      <c r="G35" t="inlineStr">
        <is>
          <t>Booking uses AI to slash customer service costs, CFO says</t>
        </is>
      </c>
      <c r="H35" s="3" t="inlineStr">
        <is>
          <t>https://www.cfodive.com/news/booking-uses-ai-to-slash-customer-service-costs-cfo-says/812624/?.tsrc=rss</t>
        </is>
      </c>
      <c r="I35" t="inlineStr">
        <is>
          <t>2026-02-19</t>
        </is>
      </c>
      <c r="J35" t="inlineStr">
        <is>
          <t>Booking uses AI to slash customer service costs, CFO says. The company’s customer service costs are down by about 10%, with bookings up by roughly the</t>
        </is>
      </c>
      <c r="K35" s="5" t="n">
        <v>0.4121</v>
      </c>
    </row>
    <row r="36">
      <c r="A36" t="inlineStr">
        <is>
          <t>XLY</t>
        </is>
      </c>
      <c r="B36" t="inlineStr">
        <is>
          <t>Consumer Discretionary</t>
        </is>
      </c>
      <c r="C36" t="inlineStr">
        <is>
          <t>LOW</t>
        </is>
      </c>
      <c r="D36" t="inlineStr">
        <is>
          <t>Lowe's Companies Inc</t>
        </is>
      </c>
      <c r="E36" t="inlineStr">
        <is>
          <t>3.39</t>
        </is>
      </c>
      <c r="F36" t="inlineStr">
        <is>
          <t>Earnings</t>
        </is>
      </c>
      <c r="G36" t="inlineStr">
        <is>
          <t>Lowe's Companies, Inc. (LOW) is Attracting Investor Attention: Here is What You Should Know</t>
        </is>
      </c>
      <c r="H36" s="3" t="inlineStr">
        <is>
          <t>https://finance.yahoo.com/news/lowes-companies-inc-low-attracting-140002680.html?.tsrc=rss</t>
        </is>
      </c>
      <c r="I36" t="inlineStr">
        <is>
          <t>2026-02-19</t>
        </is>
      </c>
      <c r="J36" t="inlineStr">
        <is>
          <t>Lowe's Companies, Inc. (LOW) is Attracting Investor Attentio. Lowe's (LOW) has been one of the most searched-for stocks on Zacks. So, you might want t</t>
        </is>
      </c>
      <c r="K36" s="5" t="n">
        <v>0.2805</v>
      </c>
    </row>
    <row r="37">
      <c r="A37" t="inlineStr">
        <is>
          <t>XLY</t>
        </is>
      </c>
      <c r="B37" t="inlineStr">
        <is>
          <t>Consumer Discretionary</t>
        </is>
      </c>
      <c r="C37" t="inlineStr">
        <is>
          <t>LOW</t>
        </is>
      </c>
      <c r="D37" t="inlineStr">
        <is>
          <t>Lowe's Companies Inc</t>
        </is>
      </c>
      <c r="E37" t="inlineStr">
        <is>
          <t>3.39</t>
        </is>
      </c>
      <c r="F37" t="inlineStr">
        <is>
          <t>Earnings</t>
        </is>
      </c>
      <c r="G37" t="inlineStr">
        <is>
          <t>How Lowe's New Affirm Buy‑Now‑Pay‑Later Partnership Will Impact Lowe's Companies (LOW) Investors</t>
        </is>
      </c>
      <c r="H37" s="3" t="inlineStr">
        <is>
          <t>https://finance.yahoo.com/news/lowes-affirm-buy-now-pay-091353878.html?.tsrc=rss</t>
        </is>
      </c>
      <c r="I37" t="inlineStr">
        <is>
          <t>2026-02-19</t>
        </is>
      </c>
      <c r="J37" t="inlineStr">
        <is>
          <t xml:space="preserve">How Lowe's New Affirm Buy‑Now‑Pay‑Later Partnership Will Imp. Earlier this week, Affirm and Lowe's announced a partnership to offer buy-now-pay-later </t>
        </is>
      </c>
      <c r="K37" t="n">
        <v>0.08450000000000001</v>
      </c>
    </row>
    <row r="38">
      <c r="A38" t="inlineStr">
        <is>
          <t>XLY</t>
        </is>
      </c>
      <c r="B38" t="inlineStr">
        <is>
          <t>Consumer Discretionary</t>
        </is>
      </c>
      <c r="C38" t="inlineStr">
        <is>
          <t>SBUX</t>
        </is>
      </c>
      <c r="D38" t="inlineStr">
        <is>
          <t>Starbucks Corp</t>
        </is>
      </c>
      <c r="E38" t="inlineStr">
        <is>
          <t>2.36</t>
        </is>
      </c>
      <c r="F38" t="inlineStr">
        <is>
          <t>General</t>
        </is>
      </c>
      <c r="G38" t="inlineStr">
        <is>
          <t>Starbucks' investor group urges shareholders to replace directors over labor row</t>
        </is>
      </c>
      <c r="H38" s="3" t="inlineStr">
        <is>
          <t>https://finance.yahoo.com/news/starbucks-investor-group-urges-shareholders-163226990.html?.tsrc=rss</t>
        </is>
      </c>
      <c r="I38" t="inlineStr">
        <is>
          <t>2026-02-19</t>
        </is>
      </c>
      <c r="J38" t="inlineStr">
        <is>
          <t>Starbucks' investor group urges shareholders to replace dire. Feb 18 (Reuters) - Starbucks faced fresh pressure on Wednesday from a coalition of inves</t>
        </is>
      </c>
      <c r="K38" t="n">
        <v>-0.1476</v>
      </c>
    </row>
    <row r="39">
      <c r="A39" t="inlineStr">
        <is>
          <t>XLY</t>
        </is>
      </c>
      <c r="B39" t="inlineStr">
        <is>
          <t>Consumer Discretionary</t>
        </is>
      </c>
      <c r="C39" t="inlineStr">
        <is>
          <t>RCL</t>
        </is>
      </c>
      <c r="D39" t="inlineStr">
        <is>
          <t>Royal Caribbean Group</t>
        </is>
      </c>
      <c r="E39" t="inlineStr">
        <is>
          <t>1.86</t>
        </is>
      </c>
      <c r="F39" t="inlineStr">
        <is>
          <t>General</t>
        </is>
      </c>
      <c r="G39" t="inlineStr">
        <is>
          <t>Norwegian Cruise Line under pressure to catch Royal Caribbean</t>
        </is>
      </c>
      <c r="H39" s="3" t="inlineStr">
        <is>
          <t>https://www.thestreet.com/travel/norwegian-cruise-line-under-pressure-to-catch-royal-caribbean?.tsrc=rss</t>
        </is>
      </c>
      <c r="I39" t="inlineStr">
        <is>
          <t>2026-02-19</t>
        </is>
      </c>
      <c r="J39" t="inlineStr">
        <is>
          <t>Norwegian Cruise Line under pressure to catch Royal Caribbea. Royal Caribbean's (RCL) stock performance has trounced Norwegian Cruise Line's (NCLH) si</t>
        </is>
      </c>
      <c r="K39" s="7" t="n">
        <v>-0.4893</v>
      </c>
    </row>
    <row r="40">
      <c r="A40" t="inlineStr">
        <is>
          <t>XLY</t>
        </is>
      </c>
      <c r="B40" t="inlineStr">
        <is>
          <t>Consumer Discretionary</t>
        </is>
      </c>
      <c r="C40" t="inlineStr">
        <is>
          <t>RCL</t>
        </is>
      </c>
      <c r="D40" t="inlineStr">
        <is>
          <t>Royal Caribbean Group</t>
        </is>
      </c>
      <c r="E40" t="inlineStr">
        <is>
          <t>1.86</t>
        </is>
      </c>
      <c r="F40" t="inlineStr">
        <is>
          <t>Earnings</t>
        </is>
      </c>
      <c r="G40" t="inlineStr">
        <is>
          <t>Royal Caribbean’s CEO is using AI to predict how many hamburgers you’ll eat—and to compete with Orla</t>
        </is>
      </c>
      <c r="H40" s="3" t="inlineStr">
        <is>
          <t>https://finance.yahoo.com/news/royal-caribbean-ceo-using-ai-190431858.html?.tsrc=rss</t>
        </is>
      </c>
      <c r="I40" t="inlineStr">
        <is>
          <t>2026-02-19</t>
        </is>
      </c>
      <c r="J40" t="inlineStr">
        <is>
          <t>Royal Caribbean’s CEO is using AI to predict how many hambur. For Jason Liberty, Chairman and CEO of Royal Caribbean Group, the future of cruising isn</t>
        </is>
      </c>
      <c r="K40" s="4" t="n">
        <v>0.5457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2" t="inlineStr">
        <is>
          <t>XLP</t>
        </is>
      </c>
      <c r="B42" s="2">
        <f>== CONSUMER STAPLES ===</f>
        <v/>
      </c>
      <c r="C42" s="2" t="inlineStr">
        <is>
          <t>Simple: 0.3904</t>
        </is>
      </c>
      <c r="D42" s="2" t="inlineStr">
        <is>
          <t>Weighted: 0.3751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XLP</t>
        </is>
      </c>
      <c r="B43" t="inlineStr">
        <is>
          <t>Consumer Staples</t>
        </is>
      </c>
      <c r="C43" t="inlineStr">
        <is>
          <t>WMT</t>
        </is>
      </c>
      <c r="D43" t="inlineStr">
        <is>
          <t>Walmart Inc</t>
        </is>
      </c>
      <c r="E43" t="inlineStr">
        <is>
          <t>11.39</t>
        </is>
      </c>
      <c r="F43" t="inlineStr">
        <is>
          <t>General</t>
        </is>
      </c>
      <c r="G43" t="inlineStr">
        <is>
          <t>Stocks to Watch Thursday Recap: Walmart, Carvana, Klarna</t>
        </is>
      </c>
      <c r="H43" s="3" t="inlineStr">
        <is>
          <t>https://finance.yahoo.com/m/970927f5-951e-30c0-8f03-b20dfca36fa9/stocks-to-watch-thursday.html?.tsrc=rss</t>
        </is>
      </c>
      <c r="I43" t="inlineStr">
        <is>
          <t>2026-02-19</t>
        </is>
      </c>
      <c r="J43" t="inlineStr">
        <is>
          <t xml:space="preserve">Stocks to Watch Thursday Recap: Walmart, Carvana, Klarna. ↘️ Walmart (WMT): The retailer posted strong quarterly sales. It said consumers continue to </t>
        </is>
      </c>
      <c r="K43" s="7" t="n">
        <v>-0.3722</v>
      </c>
    </row>
    <row r="44">
      <c r="A44" t="inlineStr">
        <is>
          <t>XLP</t>
        </is>
      </c>
      <c r="B44" t="inlineStr">
        <is>
          <t>Consumer Staples</t>
        </is>
      </c>
      <c r="C44" t="inlineStr">
        <is>
          <t>WMT</t>
        </is>
      </c>
      <c r="D44" t="inlineStr">
        <is>
          <t>Walmart Inc</t>
        </is>
      </c>
      <c r="E44" t="inlineStr">
        <is>
          <t>11.39</t>
        </is>
      </c>
      <c r="F44" t="inlineStr">
        <is>
          <t>Earnings</t>
        </is>
      </c>
      <c r="G44" t="inlineStr">
        <is>
          <t>Walmart Inc. Q4 2026 Earnings Call Summary</t>
        </is>
      </c>
      <c r="H44" s="3" t="inlineStr">
        <is>
          <t>https://app.moby.co/home/research/tools/earningsCalendar/earnings-walmart-inc-q4-2026-earnings-call-summary?utm_source=yahoo_finance&amp;utm_medium=rss&amp;.tsrc=rss</t>
        </is>
      </c>
      <c r="I44" t="inlineStr">
        <is>
          <t>2026-02-19</t>
        </is>
      </c>
      <c r="J44" t="inlineStr">
        <is>
          <t>Walmart Inc. Q4 2026 Earnings Call Summary. Moby summary of Walmart Inc. 's Q4 2026 earnings call</t>
        </is>
      </c>
      <c r="K44" t="n">
        <v>-0.0555</v>
      </c>
    </row>
    <row r="45">
      <c r="A45" t="inlineStr">
        <is>
          <t>XLP</t>
        </is>
      </c>
      <c r="B45" t="inlineStr">
        <is>
          <t>Consumer Staples</t>
        </is>
      </c>
      <c r="C45" t="inlineStr">
        <is>
          <t>WMT</t>
        </is>
      </c>
      <c r="D45" t="inlineStr">
        <is>
          <t>Walmart Inc</t>
        </is>
      </c>
      <c r="E45" t="inlineStr">
        <is>
          <t>11.39</t>
        </is>
      </c>
      <c r="F45" t="inlineStr">
        <is>
          <t>General</t>
        </is>
      </c>
      <c r="G45" t="inlineStr">
        <is>
          <t>Meet Sparky—the AI Chatbot Walmart Says Is a Whiz at Sales</t>
        </is>
      </c>
      <c r="H45" s="3" t="inlineStr">
        <is>
          <t>https://www.investopedia.com/meet-sparky-the-ai-chatbot-walmart-says-is-a-whiz-at-sales-wmt-11909966?.tsrc=rss</t>
        </is>
      </c>
      <c r="I45" t="inlineStr">
        <is>
          <t>2026-02-19</t>
        </is>
      </c>
      <c r="J45" t="inlineStr">
        <is>
          <t>Meet Sparky—the AI Chatbot Walmart Says Is a Whiz at Sales. Shoppers using Sparky place orders that are, on average, 35% larger, CFO John David Rainey</t>
        </is>
      </c>
      <c r="K45" t="n">
        <v>0.09279999999999999</v>
      </c>
    </row>
    <row r="46">
      <c r="A46" t="inlineStr">
        <is>
          <t>XLP</t>
        </is>
      </c>
      <c r="B46" t="inlineStr">
        <is>
          <t>Consumer Staples</t>
        </is>
      </c>
      <c r="C46" t="inlineStr">
        <is>
          <t>WMT</t>
        </is>
      </c>
      <c r="D46" t="inlineStr">
        <is>
          <t>Walmart Inc</t>
        </is>
      </c>
      <c r="E46" t="inlineStr">
        <is>
          <t>11.39</t>
        </is>
      </c>
      <c r="F46" t="inlineStr">
        <is>
          <t>Earnings</t>
        </is>
      </c>
      <c r="G46" t="inlineStr">
        <is>
          <t>Walmart results show split consumer as digital sales grow</t>
        </is>
      </c>
      <c r="H46" s="3" t="inlineStr">
        <is>
          <t>https://finance.yahoo.com/video/walmart-results-show-split-consumer-203203856.html?.tsrc=rss</t>
        </is>
      </c>
      <c r="I46" t="inlineStr">
        <is>
          <t>2026-02-19</t>
        </is>
      </c>
      <c r="J46" t="inlineStr">
        <is>
          <t>Walmart results show split consumer as digital sales grow. &lt;span&gt;STORY: Walmart reported quarterly earnings on Thursday, and said it expects net sales</t>
        </is>
      </c>
      <c r="K46" s="4" t="n">
        <v>0.5568</v>
      </c>
    </row>
    <row r="47">
      <c r="A47" t="inlineStr">
        <is>
          <t>XLP</t>
        </is>
      </c>
      <c r="B47" t="inlineStr">
        <is>
          <t>Consumer Staples</t>
        </is>
      </c>
      <c r="C47" t="inlineStr">
        <is>
          <t>WMT</t>
        </is>
      </c>
      <c r="D47" t="inlineStr">
        <is>
          <t>Walmart Inc</t>
        </is>
      </c>
      <c r="E47" t="inlineStr">
        <is>
          <t>11.39</t>
        </is>
      </c>
      <c r="F47" t="inlineStr">
        <is>
          <t>Earnings</t>
        </is>
      </c>
      <c r="G47" t="inlineStr">
        <is>
          <t>Where Is Walmart Stock Headed Next After Q4 Earnings? What Barchart Options Data Says.</t>
        </is>
      </c>
      <c r="H47" s="3" t="inlineStr">
        <is>
          <t>https://www.barchart.com/story/news/312716/where-is-walmart-stock-headed-next-after-q4-earnings-what-barchart-options-data-says?.tsrc=rss</t>
        </is>
      </c>
      <c r="I47" t="inlineStr">
        <is>
          <t>2026-02-19</t>
        </is>
      </c>
      <c r="J47" t="inlineStr">
        <is>
          <t xml:space="preserve">Where Is Walmart Stock Headed Next After Q4 Earnings? What B. All information and data in this article is solely for informational purposes. For more </t>
        </is>
      </c>
      <c r="K47" s="4" t="n">
        <v>0.6636</v>
      </c>
    </row>
    <row r="48">
      <c r="A48" t="inlineStr">
        <is>
          <t>XLP</t>
        </is>
      </c>
      <c r="B48" t="inlineStr">
        <is>
          <t>Consumer Staples</t>
        </is>
      </c>
      <c r="C48" t="inlineStr">
        <is>
          <t>WMT</t>
        </is>
      </c>
      <c r="D48" t="inlineStr">
        <is>
          <t>Walmart Inc</t>
        </is>
      </c>
      <c r="E48" t="inlineStr">
        <is>
          <t>11.39</t>
        </is>
      </c>
      <c r="F48" t="inlineStr">
        <is>
          <t>Earnings</t>
        </is>
      </c>
      <c r="G48" t="inlineStr">
        <is>
          <t>Walmart Inc (WMT) Q4 2026 Earnings Call Highlights: Robust Growth in eCommerce and Operating Income</t>
        </is>
      </c>
      <c r="H48" s="3" t="inlineStr">
        <is>
          <t>https://finance.yahoo.com/news/walmart-inc-wmt-q4-2026-190309172.html?.tsrc=rss</t>
        </is>
      </c>
      <c r="I48" t="inlineStr">
        <is>
          <t>2026-02-19</t>
        </is>
      </c>
      <c r="J48" t="inlineStr">
        <is>
          <t>Walmart Inc (WMT) Q4 2026 Earnings Call Highlights: Robust G. Walmart Inc (WMT) reports strong financial performance with significant gains in eCommer</t>
        </is>
      </c>
      <c r="K48" s="4" t="n">
        <v>0.8555</v>
      </c>
    </row>
    <row r="49">
      <c r="A49" t="inlineStr">
        <is>
          <t>XLP</t>
        </is>
      </c>
      <c r="B49" t="inlineStr">
        <is>
          <t>Consumer Staples</t>
        </is>
      </c>
      <c r="C49" t="inlineStr">
        <is>
          <t>WMT</t>
        </is>
      </c>
      <c r="D49" t="inlineStr">
        <is>
          <t>Walmart Inc</t>
        </is>
      </c>
      <c r="E49" t="inlineStr">
        <is>
          <t>11.39</t>
        </is>
      </c>
      <c r="F49" t="inlineStr">
        <is>
          <t>Earnings</t>
        </is>
      </c>
      <c r="G49" t="inlineStr">
        <is>
          <t>Walmart's Cautious Outlook Reflects Uneven State of US Economy</t>
        </is>
      </c>
      <c r="H49" s="3" t="inlineStr">
        <is>
          <t>https://finance.yahoo.com/video/walmarts-cautious-outlook-reflects-uneven-184310403.html?.tsrc=rss</t>
        </is>
      </c>
      <c r="I49" t="inlineStr">
        <is>
          <t>2026-02-19</t>
        </is>
      </c>
      <c r="J49" t="inlineStr">
        <is>
          <t>Walmart's Cautious Outlook Reflects Uneven State of US Econo. forecast less growth in earnings this year than Wall Street was expecting, citing the ne</t>
        </is>
      </c>
      <c r="K49" s="4" t="n">
        <v>0.702</v>
      </c>
    </row>
    <row r="50">
      <c r="A50" t="inlineStr">
        <is>
          <t>XLP</t>
        </is>
      </c>
      <c r="B50" t="inlineStr">
        <is>
          <t>Consumer Staples</t>
        </is>
      </c>
      <c r="C50" t="inlineStr">
        <is>
          <t>WMT</t>
        </is>
      </c>
      <c r="D50" t="inlineStr">
        <is>
          <t>Walmart Inc</t>
        </is>
      </c>
      <c r="E50" t="inlineStr">
        <is>
          <t>11.39</t>
        </is>
      </c>
      <c r="F50" t="inlineStr">
        <is>
          <t>General</t>
        </is>
      </c>
      <c r="G50" t="inlineStr">
        <is>
          <t>Walmart prices only rose about 1% across the board in Q4: CFO</t>
        </is>
      </c>
      <c r="H50" s="3" t="inlineStr">
        <is>
          <t>https://finance.yahoo.com/video/walmart-prices-only-rose-1-183000393.html?.tsrc=rss</t>
        </is>
      </c>
      <c r="I50" t="inlineStr">
        <is>
          <t>2026-02-19</t>
        </is>
      </c>
      <c r="J50" t="inlineStr">
        <is>
          <t>Walmart prices only rose about 1% across the board in Q4: CF. It's coming up on one year since President Trump implemented his Liberation Day tariff p</t>
        </is>
      </c>
      <c r="K50" s="5" t="n">
        <v>0.2101</v>
      </c>
    </row>
    <row r="51">
      <c r="A51" t="inlineStr">
        <is>
          <t>XLP</t>
        </is>
      </c>
      <c r="B51" t="inlineStr">
        <is>
          <t>Consumer Staples</t>
        </is>
      </c>
      <c r="C51" t="inlineStr">
        <is>
          <t>COST</t>
        </is>
      </c>
      <c r="D51" t="inlineStr">
        <is>
          <t>Costco Wholesale Corp</t>
        </is>
      </c>
      <c r="E51" t="inlineStr">
        <is>
          <t>9.08</t>
        </is>
      </c>
      <c r="F51" t="inlineStr">
        <is>
          <t>Earnings</t>
        </is>
      </c>
      <c r="G51" t="inlineStr">
        <is>
          <t>Where Will Costco Be in 5 Years?</t>
        </is>
      </c>
      <c r="H51" s="3" t="inlineStr">
        <is>
          <t>https://www.fool.com/investing/2026/02/19/where-will-costco-be-in-5-years/?.tsrc=rss</t>
        </is>
      </c>
      <c r="I51" t="inlineStr">
        <is>
          <t>2026-02-19</t>
        </is>
      </c>
      <c r="J51" t="inlineStr">
        <is>
          <t>Where Will Costco Be in 5 Years?. Costco bulls hope that the retailing giant's 205% trailing five-year total return will repeat. Costco Wholesale (COS</t>
        </is>
      </c>
      <c r="K51" s="4" t="n">
        <v>0.6881</v>
      </c>
    </row>
    <row r="52">
      <c r="A52" t="inlineStr">
        <is>
          <t>XLP</t>
        </is>
      </c>
      <c r="B52" t="inlineStr">
        <is>
          <t>Consumer Staples</t>
        </is>
      </c>
      <c r="C52" t="inlineStr">
        <is>
          <t>COST</t>
        </is>
      </c>
      <c r="D52" t="inlineStr">
        <is>
          <t>Costco Wholesale Corp</t>
        </is>
      </c>
      <c r="E52" t="inlineStr">
        <is>
          <t>9.08</t>
        </is>
      </c>
      <c r="F52" t="inlineStr">
        <is>
          <t>Earnings</t>
        </is>
      </c>
      <c r="G52" t="inlineStr">
        <is>
          <t>Is Costco (COST) Stock Going to $1,200?</t>
        </is>
      </c>
      <c r="H52" s="3" t="inlineStr">
        <is>
          <t>https://www.fool.com/investing/2026/02/19/is-writer-pick-stock-going-to-x/?.tsrc=rss</t>
        </is>
      </c>
      <c r="I52" t="inlineStr">
        <is>
          <t>2026-02-19</t>
        </is>
      </c>
      <c r="J52" t="inlineStr">
        <is>
          <t xml:space="preserve">Is Costco (COST) Stock Going to $1,200?. The world's largest warehouse retailer looks richly valued. 90%) stock has rallied nearly 180% over the past </t>
        </is>
      </c>
      <c r="K52" s="4" t="n">
        <v>0.5846</v>
      </c>
    </row>
    <row r="53">
      <c r="A53" t="inlineStr">
        <is>
          <t>XLP</t>
        </is>
      </c>
      <c r="B53" t="inlineStr">
        <is>
          <t>Consumer Staples</t>
        </is>
      </c>
      <c r="C53" t="inlineStr">
        <is>
          <t>COST</t>
        </is>
      </c>
      <c r="D53" t="inlineStr">
        <is>
          <t>Costco Wholesale Corp</t>
        </is>
      </c>
      <c r="E53" t="inlineStr">
        <is>
          <t>9.08</t>
        </is>
      </c>
      <c r="F53" t="inlineStr">
        <is>
          <t>Earnings</t>
        </is>
      </c>
      <c r="G53" t="inlineStr">
        <is>
          <t>Target vs. Costco: Which Discount Retail Stock Has Better Upside Now?</t>
        </is>
      </c>
      <c r="H53" s="3" t="inlineStr">
        <is>
          <t>https://finance.yahoo.com/news/target-vs-costco-discount-retail-154600609.html?.tsrc=rss</t>
        </is>
      </c>
      <c r="I53" t="inlineStr">
        <is>
          <t>2026-02-19</t>
        </is>
      </c>
      <c r="J53" t="inlineStr">
        <is>
          <t xml:space="preserve">Target vs. Costco: Which Discount Retail Stock Has Better Up. Target Corporation TGT and Costco Wholesale Corporation COST are two leading players in </t>
        </is>
      </c>
      <c r="K53" s="4" t="n">
        <v>0.6876</v>
      </c>
    </row>
    <row r="54">
      <c r="A54" t="inlineStr">
        <is>
          <t>XLP</t>
        </is>
      </c>
      <c r="B54" t="inlineStr">
        <is>
          <t>Consumer Staples</t>
        </is>
      </c>
      <c r="C54" t="inlineStr">
        <is>
          <t>COST</t>
        </is>
      </c>
      <c r="D54" t="inlineStr">
        <is>
          <t>Costco Wholesale Corp</t>
        </is>
      </c>
      <c r="E54" t="inlineStr">
        <is>
          <t>9.08</t>
        </is>
      </c>
      <c r="F54" t="inlineStr">
        <is>
          <t>Analyst</t>
        </is>
      </c>
      <c r="G54" t="inlineStr">
        <is>
          <t>Here’s What Analysts Are Saying About Costco Wholesale Corporation (COST)</t>
        </is>
      </c>
      <c r="H54" s="3" t="inlineStr">
        <is>
          <t>https://finance.yahoo.com/news/analysts-saying-costco-wholesale-corporation-144839296.html?.tsrc=rss</t>
        </is>
      </c>
      <c r="I54" t="inlineStr">
        <is>
          <t>2026-02-19</t>
        </is>
      </c>
      <c r="J54" t="inlineStr">
        <is>
          <t>Here’s What Analysts Are Saying About Costco Wholesale Corpo. Costco Wholesale Corporation (NASDAQ:COST) is one of the best natural and organic food s</t>
        </is>
      </c>
      <c r="K54" s="4" t="n">
        <v>0.5753</v>
      </c>
    </row>
    <row r="55">
      <c r="A55" t="inlineStr">
        <is>
          <t>XLP</t>
        </is>
      </c>
      <c r="B55" t="inlineStr">
        <is>
          <t>Consumer Staples</t>
        </is>
      </c>
      <c r="C55" t="inlineStr">
        <is>
          <t>COST</t>
        </is>
      </c>
      <c r="D55" t="inlineStr">
        <is>
          <t>Costco Wholesale Corp</t>
        </is>
      </c>
      <c r="E55" t="inlineStr">
        <is>
          <t>9.08</t>
        </is>
      </c>
      <c r="F55" t="inlineStr">
        <is>
          <t>Earnings</t>
        </is>
      </c>
      <c r="G55" t="inlineStr">
        <is>
          <t>Costco Wholesale (COST) Valuation Check As Chicken Lawsuits Put Rotisserie Flagship Under Pressure</t>
        </is>
      </c>
      <c r="H55" s="3" t="inlineStr">
        <is>
          <t>https://finance.yahoo.com/news/costco-wholesale-cost-valuation-check-130936725.html?.tsrc=rss</t>
        </is>
      </c>
      <c r="I55" t="inlineStr">
        <is>
          <t>2026-02-19</t>
        </is>
      </c>
      <c r="J55" t="inlineStr">
        <is>
          <t xml:space="preserve">Costco Wholesale (COST) Valuation Check As Chicken Lawsuits . Make better investment decisions with Simply Wall St's easy, visual tools that give you </t>
        </is>
      </c>
      <c r="K55" s="5" t="n">
        <v>0.2237</v>
      </c>
    </row>
    <row r="56">
      <c r="A56" t="inlineStr">
        <is>
          <t>XLP</t>
        </is>
      </c>
      <c r="B56" t="inlineStr">
        <is>
          <t>Consumer Staples</t>
        </is>
      </c>
      <c r="C56" t="inlineStr">
        <is>
          <t>COST</t>
        </is>
      </c>
      <c r="D56" t="inlineStr">
        <is>
          <t>Costco Wholesale Corp</t>
        </is>
      </c>
      <c r="E56" t="inlineStr">
        <is>
          <t>9.08</t>
        </is>
      </c>
      <c r="F56" t="inlineStr">
        <is>
          <t>Earnings</t>
        </is>
      </c>
      <c r="G56" t="inlineStr">
        <is>
          <t>Nike’s Costco Dunk Drop Tests Brand Reset And Investor Patience</t>
        </is>
      </c>
      <c r="H56" s="3" t="inlineStr">
        <is>
          <t>https://finance.yahoo.com/news/nike-costco-dunk-drop-tests-130723905.html?.tsrc=rss</t>
        </is>
      </c>
      <c r="I56" t="inlineStr">
        <is>
          <t>2026-02-19</t>
        </is>
      </c>
      <c r="J56" t="inlineStr">
        <is>
          <t>Nike’s Costco Dunk Drop Tests Brand Reset And Investor Patie. Find your next quality investment with Simply Wall St's easy and powerful screener, trus</t>
        </is>
      </c>
      <c r="K56" s="5" t="n">
        <v>0.32</v>
      </c>
    </row>
    <row r="57">
      <c r="A57" t="inlineStr">
        <is>
          <t>XLP</t>
        </is>
      </c>
      <c r="B57" t="inlineStr">
        <is>
          <t>Consumer Staples</t>
        </is>
      </c>
      <c r="C57" t="inlineStr">
        <is>
          <t>COST</t>
        </is>
      </c>
      <c r="D57" t="inlineStr">
        <is>
          <t>Costco Wholesale Corp</t>
        </is>
      </c>
      <c r="E57" t="inlineStr">
        <is>
          <t>9.08</t>
        </is>
      </c>
      <c r="F57" t="inlineStr">
        <is>
          <t>Earnings</t>
        </is>
      </c>
      <c r="G57" t="inlineStr">
        <is>
          <t>Costco Lawsuits Test Food Safety Reputation And Premium Valuation</t>
        </is>
      </c>
      <c r="H57" s="3" t="inlineStr">
        <is>
          <t>https://finance.yahoo.com/news/costco-lawsuits-test-food-safety-121522168.html?.tsrc=rss</t>
        </is>
      </c>
      <c r="I57" t="inlineStr">
        <is>
          <t>2026-02-19</t>
        </is>
      </c>
      <c r="J57" t="inlineStr">
        <is>
          <t>Costco Lawsuits Test Food Safety Reputation And Premium Valu. Never miss an important update on your stock portfolio and cut through the noise. Over 7</t>
        </is>
      </c>
      <c r="K57" t="n">
        <v>0.1029</v>
      </c>
    </row>
    <row r="58">
      <c r="A58" t="inlineStr">
        <is>
          <t>XLP</t>
        </is>
      </c>
      <c r="B58" t="inlineStr">
        <is>
          <t>Consumer Staples</t>
        </is>
      </c>
      <c r="C58" t="inlineStr">
        <is>
          <t>COST</t>
        </is>
      </c>
      <c r="D58" t="inlineStr">
        <is>
          <t>Costco Wholesale Corp</t>
        </is>
      </c>
      <c r="E58" t="inlineStr">
        <is>
          <t>9.08</t>
        </is>
      </c>
      <c r="F58" t="inlineStr">
        <is>
          <t>Product</t>
        </is>
      </c>
      <c r="G58" t="inlineStr">
        <is>
          <t>Why Nike Partnering with Costco Is Actually a Genius Move</t>
        </is>
      </c>
      <c r="H58" s="3" t="inlineStr">
        <is>
          <t>https://www.fool.com/investing/2026/02/19/nike-costco-partnership-genius/?.tsrc=rss</t>
        </is>
      </c>
      <c r="I58" t="inlineStr">
        <is>
          <t>2026-02-19</t>
        </is>
      </c>
      <c r="J58" t="inlineStr">
        <is>
          <t>Why Nike Partnering with Costco Is Actually a Genius Move. A very limited launch is heating up social media and producing exorbitant resale prices</t>
        </is>
      </c>
      <c r="K58" t="n">
        <v>-0.0413</v>
      </c>
    </row>
    <row r="59">
      <c r="A59" t="inlineStr">
        <is>
          <t>XLP</t>
        </is>
      </c>
      <c r="B59" t="inlineStr">
        <is>
          <t>Consumer Staples</t>
        </is>
      </c>
      <c r="C59" t="inlineStr">
        <is>
          <t>KO</t>
        </is>
      </c>
      <c r="D59" t="inlineStr">
        <is>
          <t>Coca-Cola Co</t>
        </is>
      </c>
      <c r="E59" t="inlineStr">
        <is>
          <t>6.31</t>
        </is>
      </c>
      <c r="F59" t="inlineStr">
        <is>
          <t>M&amp;A</t>
        </is>
      </c>
      <c r="G59" t="inlineStr">
        <is>
          <t xml:space="preserve">Board of Directors of The Coca-Cola Company Elects New Officer and Approves 64th Consecutive Annual </t>
        </is>
      </c>
      <c r="H59" s="3" t="inlineStr">
        <is>
          <t>https://finance.yahoo.com/news/board-directors-coca-cola-company-190000482.html?.tsrc=rss</t>
        </is>
      </c>
      <c r="I59" t="inlineStr">
        <is>
          <t>2026-02-19</t>
        </is>
      </c>
      <c r="J59" t="inlineStr">
        <is>
          <t>Board of Directors of The Coca-Cola Company Elects New Offic. ATLANTA, February 19, 2026--(BUSINESS WIRE)--The Board of Directors of The Coca-Cola Com</t>
        </is>
      </c>
      <c r="K59" s="5" t="n">
        <v>0.4863</v>
      </c>
    </row>
    <row r="60">
      <c r="A60" t="inlineStr">
        <is>
          <t>XLP</t>
        </is>
      </c>
      <c r="B60" t="inlineStr">
        <is>
          <t>Consumer Staples</t>
        </is>
      </c>
      <c r="C60" t="inlineStr">
        <is>
          <t>KO</t>
        </is>
      </c>
      <c r="D60" t="inlineStr">
        <is>
          <t>Coca-Cola Co</t>
        </is>
      </c>
      <c r="E60" t="inlineStr">
        <is>
          <t>6.31</t>
        </is>
      </c>
      <c r="F60" t="inlineStr">
        <is>
          <t>Earnings</t>
        </is>
      </c>
      <c r="G60" t="inlineStr">
        <is>
          <t>Coca-Cola CEO Shift Pairs Digital Push With Dividend Growth Story</t>
        </is>
      </c>
      <c r="H60" s="3" t="inlineStr">
        <is>
          <t>https://finance.yahoo.com/news/coca-cola-ceo-shift-pairs-111135475.html?.tsrc=rss</t>
        </is>
      </c>
      <c r="I60" t="inlineStr">
        <is>
          <t>2026-02-19</t>
        </is>
      </c>
      <c r="J60" t="inlineStr">
        <is>
          <t>Coca-Cola CEO Shift Pairs Digital Push With Dividend Growth . Track your investments for FREE with Simply Wall St, the portfolio command center truste</t>
        </is>
      </c>
      <c r="K60" s="4" t="n">
        <v>0.5421</v>
      </c>
    </row>
    <row r="61">
      <c r="A61" t="inlineStr">
        <is>
          <t>XLP</t>
        </is>
      </c>
      <c r="B61" t="inlineStr">
        <is>
          <t>Consumer Staples</t>
        </is>
      </c>
      <c r="C61" t="inlineStr">
        <is>
          <t>MNST</t>
        </is>
      </c>
      <c r="D61" t="inlineStr">
        <is>
          <t>Monster Beverage Corp</t>
        </is>
      </c>
      <c r="E61" t="inlineStr">
        <is>
          <t>3.69</t>
        </is>
      </c>
      <c r="F61" t="inlineStr">
        <is>
          <t>General</t>
        </is>
      </c>
      <c r="G61" t="inlineStr">
        <is>
          <t>Monster Beverage to Report Financial Results for 2025 Fourth Quarter on February 26, 2026</t>
        </is>
      </c>
      <c r="H61" s="3" t="inlineStr">
        <is>
          <t>https://finance.yahoo.com/news/monster-beverage-report-financial-results-173000663.html?.tsrc=rss</t>
        </is>
      </c>
      <c r="I61" t="inlineStr">
        <is>
          <t>2026-02-19</t>
        </is>
      </c>
      <c r="J61" t="inlineStr">
        <is>
          <t>Monster Beverage to Report Financial Results for 2025 Fourth. Company to Conduct Conference Call at 2 p. Pacific Time CORONA, Calif</t>
        </is>
      </c>
      <c r="K61" t="n">
        <v>0.0432</v>
      </c>
    </row>
    <row r="62">
      <c r="A62" t="inlineStr">
        <is>
          <t>XLP</t>
        </is>
      </c>
      <c r="B62" t="inlineStr">
        <is>
          <t>Consumer Staples</t>
        </is>
      </c>
      <c r="C62" t="inlineStr">
        <is>
          <t>MNST</t>
        </is>
      </c>
      <c r="D62" t="inlineStr">
        <is>
          <t>Monster Beverage Corp</t>
        </is>
      </c>
      <c r="E62" t="inlineStr">
        <is>
          <t>3.69</t>
        </is>
      </c>
      <c r="F62" t="inlineStr">
        <is>
          <t>Earnings</t>
        </is>
      </c>
      <c r="G62" t="inlineStr">
        <is>
          <t>Monster Beverage (MNST) Earnings Expected to Grow: Should You Buy?</t>
        </is>
      </c>
      <c r="H62" s="3" t="inlineStr">
        <is>
          <t>https://finance.yahoo.com/news/monster-beverage-mnst-earnings-expected-150014453.html?.tsrc=rss</t>
        </is>
      </c>
      <c r="I62" t="inlineStr">
        <is>
          <t>2026-02-19</t>
        </is>
      </c>
      <c r="J62" t="inlineStr">
        <is>
          <t xml:space="preserve">Monster Beverage (MNST) Earnings Expected to Grow: Should Yo. Monster Beverage (MNST) is expected to deliver a year-over-year increase in earnings on </t>
        </is>
      </c>
      <c r="K62" s="4" t="n">
        <v>0.5881</v>
      </c>
    </row>
    <row r="63">
      <c r="A63" t="inlineStr">
        <is>
          <t>XLP</t>
        </is>
      </c>
      <c r="B63" t="inlineStr">
        <is>
          <t>Consumer Staples</t>
        </is>
      </c>
      <c r="C63" t="inlineStr">
        <is>
          <t>MNST</t>
        </is>
      </c>
      <c r="D63" t="inlineStr">
        <is>
          <t>Monster Beverage Corp</t>
        </is>
      </c>
      <c r="E63" t="inlineStr">
        <is>
          <t>3.69</t>
        </is>
      </c>
      <c r="F63" t="inlineStr">
        <is>
          <t>Earnings</t>
        </is>
      </c>
      <c r="G63" t="inlineStr">
        <is>
          <t>How Investors May Respond To Monster Beverage (MNST) Earnings Momentum And Tight Trading Near Highs</t>
        </is>
      </c>
      <c r="H63" s="3" t="inlineStr">
        <is>
          <t>https://finance.yahoo.com/news/investors-may-respond-monster-beverage-091320861.html?.tsrc=rss</t>
        </is>
      </c>
      <c r="I63" t="inlineStr">
        <is>
          <t>2026-02-19</t>
        </is>
      </c>
      <c r="J63" t="inlineStr">
        <is>
          <t>How Investors May Respond To Monster Beverage (MNST) Earning. Recent reports show Monster Beverage delivered stronger momentum in earnings and sales w</t>
        </is>
      </c>
      <c r="K63" s="4" t="n">
        <v>0.7436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2" t="inlineStr">
        <is>
          <t>XLE</t>
        </is>
      </c>
      <c r="B65" s="2">
        <f>== ENERGY ===</f>
        <v/>
      </c>
      <c r="C65" s="2" t="inlineStr">
        <is>
          <t>Simple: 0.4421</t>
        </is>
      </c>
      <c r="D65" s="2" t="inlineStr">
        <is>
          <t>Weighted: 0.4092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t="inlineStr">
        <is>
          <t>XLE</t>
        </is>
      </c>
      <c r="B66" t="inlineStr">
        <is>
          <t>Energy</t>
        </is>
      </c>
      <c r="C66" t="inlineStr">
        <is>
          <t>XOM</t>
        </is>
      </c>
      <c r="D66" t="inlineStr">
        <is>
          <t>Exxon Mobil Corp</t>
        </is>
      </c>
      <c r="E66" t="inlineStr">
        <is>
          <t>24.40</t>
        </is>
      </c>
      <c r="F66" t="inlineStr">
        <is>
          <t>Earnings</t>
        </is>
      </c>
      <c r="G66" t="inlineStr">
        <is>
          <t>What Exxon Mobil (XOM)'s Shifting Geopolitical and LNG Exposure Means For Shareholders</t>
        </is>
      </c>
      <c r="H66" s="3" t="inlineStr">
        <is>
          <t>https://finance.yahoo.com/news/exxon-mobil-xom-shifting-geopolitical-210822970.html?.tsrc=rss</t>
        </is>
      </c>
      <c r="I66" t="inlineStr">
        <is>
          <t>2026-02-19</t>
        </is>
      </c>
      <c r="J66" t="inlineStr">
        <is>
          <t>What Exxon Mobil (XOM)'s Shifting Geopolitical and LNG Expos. In recent weeks, Exxon Mobil has been affected by rising oil prices linked to heightened</t>
        </is>
      </c>
      <c r="K66" t="n">
        <v>0.1125</v>
      </c>
    </row>
    <row r="67">
      <c r="A67" t="inlineStr">
        <is>
          <t>XLE</t>
        </is>
      </c>
      <c r="B67" t="inlineStr">
        <is>
          <t>Energy</t>
        </is>
      </c>
      <c r="C67" t="inlineStr">
        <is>
          <t>CVX</t>
        </is>
      </c>
      <c r="D67" t="inlineStr">
        <is>
          <t>Chevron Corp</t>
        </is>
      </c>
      <c r="E67" t="inlineStr">
        <is>
          <t>17.90</t>
        </is>
      </c>
      <c r="F67" t="inlineStr">
        <is>
          <t>Earnings</t>
        </is>
      </c>
      <c r="G67" t="inlineStr">
        <is>
          <t>Chevron Expands Mediterranean Reach With Greece Lease Win</t>
        </is>
      </c>
      <c r="H67" s="3" t="inlineStr">
        <is>
          <t>https://finance.yahoo.com/news/chevron-expands-mediterranean-reach-greece-173054417.html?.tsrc=rss</t>
        </is>
      </c>
      <c r="I67" t="inlineStr">
        <is>
          <t>2026-02-19</t>
        </is>
      </c>
      <c r="J67" t="inlineStr">
        <is>
          <t>Chevron Expands Mediterranean Reach With Greece Lease Win. Benzinga and Yahoo Finance LLC may earn commission or revenue on some items through the lin</t>
        </is>
      </c>
      <c r="K67" s="4" t="n">
        <v>0.793</v>
      </c>
    </row>
    <row r="68">
      <c r="A68" t="inlineStr">
        <is>
          <t>XLE</t>
        </is>
      </c>
      <c r="B68" t="inlineStr">
        <is>
          <t>Energy</t>
        </is>
      </c>
      <c r="C68" t="inlineStr">
        <is>
          <t>COP</t>
        </is>
      </c>
      <c r="D68" t="inlineStr">
        <is>
          <t>ConocoPhillips</t>
        </is>
      </c>
      <c r="E68" t="inlineStr">
        <is>
          <t>6.88</t>
        </is>
      </c>
      <c r="F68" t="inlineStr">
        <is>
          <t>Earnings</t>
        </is>
      </c>
      <c r="G68" t="inlineStr">
        <is>
          <t>Is ConocoPhillips (COP) Still Attractive After Recent Share Price Gains?</t>
        </is>
      </c>
      <c r="H68" s="3" t="inlineStr">
        <is>
          <t>https://finance.yahoo.com/news/conocophillips-cop-still-attractive-recent-140954456.html?.tsrc=rss</t>
        </is>
      </c>
      <c r="I68" t="inlineStr">
        <is>
          <t>2026-02-19</t>
        </is>
      </c>
      <c r="J68" t="inlineStr">
        <is>
          <t xml:space="preserve">Is ConocoPhillips (COP) Still Attractive After Recent Share . Make better investment decisions with Simply Wall St's easy, visual tools that give you </t>
        </is>
      </c>
      <c r="K68" s="5" t="n">
        <v>0.2794</v>
      </c>
    </row>
    <row r="69">
      <c r="A69" t="inlineStr">
        <is>
          <t>XLE</t>
        </is>
      </c>
      <c r="B69" t="inlineStr">
        <is>
          <t>Energy</t>
        </is>
      </c>
      <c r="C69" t="inlineStr">
        <is>
          <t>EOG</t>
        </is>
      </c>
      <c r="D69" t="inlineStr">
        <is>
          <t>EOG Resources Inc</t>
        </is>
      </c>
      <c r="E69" t="inlineStr">
        <is>
          <t>3.80</t>
        </is>
      </c>
      <c r="F69" t="inlineStr">
        <is>
          <t>Product</t>
        </is>
      </c>
      <c r="G69" t="inlineStr">
        <is>
          <t>EOG Resources (EOG) ‘Buy’ Rating Maintained, $150 Price Target</t>
        </is>
      </c>
      <c r="H69" s="3" t="inlineStr">
        <is>
          <t>https://finance.yahoo.com/news/eog-resources-eog-buy-rating-160305300.html?.tsrc=rss</t>
        </is>
      </c>
      <c r="I69" t="inlineStr">
        <is>
          <t>2026-02-19</t>
        </is>
      </c>
      <c r="J69" t="inlineStr">
        <is>
          <t>EOG Resources (EOG) ‘Buy’ Rating Maintained, $150 Price Targ. (NYSE:EOG) is included among the 12 Best Crude Oil Stocks to Buy as Tensions Rise. (NYSE</t>
        </is>
      </c>
      <c r="K69" s="4" t="n">
        <v>0.5555</v>
      </c>
    </row>
    <row r="70">
      <c r="A70" t="inlineStr">
        <is>
          <t>XLE</t>
        </is>
      </c>
      <c r="B70" t="inlineStr">
        <is>
          <t>Energy</t>
        </is>
      </c>
      <c r="C70" t="inlineStr">
        <is>
          <t>KMI</t>
        </is>
      </c>
      <c r="D70" t="inlineStr">
        <is>
          <t>Kinder Morgan Inc Class P</t>
        </is>
      </c>
      <c r="E70" t="inlineStr">
        <is>
          <t>3.73</t>
        </is>
      </c>
      <c r="F70" t="inlineStr">
        <is>
          <t>Earnings</t>
        </is>
      </c>
      <c r="G70" t="inlineStr">
        <is>
          <t>Is Kinder Morgan (KMI) Pricing Reflect Its Cash Flow Outlook After Recent Share Price Gains</t>
        </is>
      </c>
      <c r="H70" s="3" t="inlineStr">
        <is>
          <t>https://finance.yahoo.com/news/kinder-morgan-kmi-pricing-reflect-210914449.html?.tsrc=rss</t>
        </is>
      </c>
      <c r="I70" t="inlineStr">
        <is>
          <t>2026-02-19</t>
        </is>
      </c>
      <c r="J70" t="inlineStr">
        <is>
          <t xml:space="preserve">Is Kinder Morgan (KMI) Pricing Reflect Its Cash Flow Outlook. Make better investment decisions with Simply Wall St's easy, visual tools that give you </t>
        </is>
      </c>
      <c r="K70" s="5" t="n">
        <v>0.4404</v>
      </c>
    </row>
    <row r="71">
      <c r="A71" t="inlineStr">
        <is>
          <t>XLE</t>
        </is>
      </c>
      <c r="B71" t="inlineStr">
        <is>
          <t>Energy</t>
        </is>
      </c>
      <c r="C71" t="inlineStr">
        <is>
          <t>KMI</t>
        </is>
      </c>
      <c r="D71" t="inlineStr">
        <is>
          <t>Kinder Morgan Inc Class P</t>
        </is>
      </c>
      <c r="E71" t="inlineStr">
        <is>
          <t>3.73</t>
        </is>
      </c>
      <c r="F71" t="inlineStr">
        <is>
          <t>Earnings</t>
        </is>
      </c>
      <c r="G71" t="inlineStr">
        <is>
          <t>UGP vs. KMI: Which Stock Is the Better Value Option?</t>
        </is>
      </c>
      <c r="H71" s="3" t="inlineStr">
        <is>
          <t>https://finance.yahoo.com/news/ugp-vs-kmi-stock-better-164002411.html?.tsrc=rss</t>
        </is>
      </c>
      <c r="I71" t="inlineStr">
        <is>
          <t>2026-02-19</t>
        </is>
      </c>
      <c r="J71" t="inlineStr">
        <is>
          <t>UGP vs. KMI: Which Stock Is the Better Value Option?. Investors with an interest in Oil and Gas - Production and Pipelines stocks have likely encounte</t>
        </is>
      </c>
      <c r="K71" s="5" t="n">
        <v>0.4335</v>
      </c>
    </row>
    <row r="72">
      <c r="A72" t="inlineStr">
        <is>
          <t>XLE</t>
        </is>
      </c>
      <c r="B72" t="inlineStr">
        <is>
          <t>Energy</t>
        </is>
      </c>
      <c r="C72" t="inlineStr">
        <is>
          <t>KMI</t>
        </is>
      </c>
      <c r="D72" t="inlineStr">
        <is>
          <t>Kinder Morgan Inc Class P</t>
        </is>
      </c>
      <c r="E72" t="inlineStr">
        <is>
          <t>3.73</t>
        </is>
      </c>
      <c r="F72" t="inlineStr">
        <is>
          <t>Earnings</t>
        </is>
      </c>
      <c r="G72" t="inlineStr">
        <is>
          <t>What Kinder Morgan (KMI)'s Ninth Straight Dividend Hike and Insider Buying Means For Shareholders</t>
        </is>
      </c>
      <c r="H72" s="3" t="inlineStr">
        <is>
          <t>https://finance.yahoo.com/news/kinder-morgan-kmi-ninth-straight-140858043.html?.tsrc=rss</t>
        </is>
      </c>
      <c r="I72" t="inlineStr">
        <is>
          <t>2026-02-19</t>
        </is>
      </c>
      <c r="J72" t="inlineStr">
        <is>
          <t xml:space="preserve">What Kinder Morgan (KMI)'s Ninth Straight Dividend Hike and . In early 2026, Kinder Morgan reported its ninth consecutive annual dividend increase of </t>
        </is>
      </c>
      <c r="K72" s="4" t="n">
        <v>0.6944</v>
      </c>
    </row>
    <row r="73">
      <c r="A73" t="inlineStr">
        <is>
          <t>XLE</t>
        </is>
      </c>
      <c r="B73" t="inlineStr">
        <is>
          <t>Energy</t>
        </is>
      </c>
      <c r="C73" t="inlineStr">
        <is>
          <t>PSX</t>
        </is>
      </c>
      <c r="D73" t="inlineStr">
        <is>
          <t>Phillips 66</t>
        </is>
      </c>
      <c r="E73" t="inlineStr">
        <is>
          <t>3.61</t>
        </is>
      </c>
      <c r="F73" t="inlineStr">
        <is>
          <t>Earnings</t>
        </is>
      </c>
      <c r="G73" t="inlineStr">
        <is>
          <t>Reasons Why PSX's Midstream Portfolio Offsets Elevated Crude Prices</t>
        </is>
      </c>
      <c r="H73" s="3" t="inlineStr">
        <is>
          <t>https://finance.yahoo.com/news/reasons-why-psxs-midstream-portfolio-162800490.html?.tsrc=rss</t>
        </is>
      </c>
      <c r="I73" t="inlineStr">
        <is>
          <t>2026-02-19</t>
        </is>
      </c>
      <c r="J73" t="inlineStr">
        <is>
          <t>Reasons Why PSX's Midstream Portfolio Offsets Elevated Crude. Phillips 66 PSX is poised to benefit from the ongoing softness in crude oil prices on it</t>
        </is>
      </c>
      <c r="K73" t="n">
        <v>0.0837</v>
      </c>
    </row>
    <row r="74">
      <c r="A74" t="inlineStr">
        <is>
          <t>XLE</t>
        </is>
      </c>
      <c r="B74" t="inlineStr">
        <is>
          <t>Energy</t>
        </is>
      </c>
      <c r="C74" t="inlineStr">
        <is>
          <t>BKR</t>
        </is>
      </c>
      <c r="D74" t="inlineStr">
        <is>
          <t>Baker Hughes Co Class A</t>
        </is>
      </c>
      <c r="E74" t="inlineStr">
        <is>
          <t>3.45</t>
        </is>
      </c>
      <c r="F74" t="inlineStr">
        <is>
          <t>Earnings</t>
        </is>
      </c>
      <c r="G74" t="inlineStr">
        <is>
          <t>Baker Hughes Taps AI Power And Downstream Deals As Valuation Draws Focus</t>
        </is>
      </c>
      <c r="H74" s="3" t="inlineStr">
        <is>
          <t>https://finance.yahoo.com/news/baker-hughes-taps-ai-power-160650122.html?.tsrc=rss</t>
        </is>
      </c>
      <c r="I74" t="inlineStr">
        <is>
          <t>2026-02-19</t>
        </is>
      </c>
      <c r="J74" t="inlineStr">
        <is>
          <t>Baker Hughes Taps AI Power And Downstream Deals As Valuation. Find your next quality investment with Simply Wall St's easy and powerful screener, trus</t>
        </is>
      </c>
      <c r="K74" s="4" t="n">
        <v>0.5867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s="2" t="inlineStr">
        <is>
          <t>XLF</t>
        </is>
      </c>
      <c r="B76" s="2">
        <f>== FINANCIALS ===</f>
        <v/>
      </c>
      <c r="C76" s="2" t="inlineStr">
        <is>
          <t>Simple: 0.3686</t>
        </is>
      </c>
      <c r="D76" s="2" t="inlineStr">
        <is>
          <t>Weighted: 0.2979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</row>
    <row r="77">
      <c r="A77" t="inlineStr">
        <is>
          <t>XLF</t>
        </is>
      </c>
      <c r="B77" t="inlineStr">
        <is>
          <t>Financials</t>
        </is>
      </c>
      <c r="C77" t="inlineStr">
        <is>
          <t>BRK-B</t>
        </is>
      </c>
      <c r="D77" t="inlineStr">
        <is>
          <t>Berkshire Hathaway Inc Class B</t>
        </is>
      </c>
      <c r="E77" t="inlineStr">
        <is>
          <t>11.51</t>
        </is>
      </c>
      <c r="F77" t="inlineStr">
        <is>
          <t>Earnings</t>
        </is>
      </c>
      <c r="G77" t="inlineStr">
        <is>
          <t>Berkshire Hathaway Shifts Portfolio As Greg Abel Succeeds Warren Buffett</t>
        </is>
      </c>
      <c r="H77" s="3" t="inlineStr">
        <is>
          <t>https://finance.yahoo.com/news/berkshire-hathaway-shifts-portfolio-greg-220913532.html?.tsrc=rss</t>
        </is>
      </c>
      <c r="I77" t="inlineStr">
        <is>
          <t>2026-02-19</t>
        </is>
      </c>
      <c r="J77" t="inlineStr">
        <is>
          <t>Berkshire Hathaway Shifts Portfolio As Greg Abel Succeeds Wa. Find winning stocks in any market cycle. Join 7 million investors using Simply Wall St's</t>
        </is>
      </c>
      <c r="K77" s="5" t="n">
        <v>0.2755</v>
      </c>
    </row>
    <row r="78">
      <c r="A78" t="inlineStr">
        <is>
          <t>XLF</t>
        </is>
      </c>
      <c r="B78" t="inlineStr">
        <is>
          <t>Financials</t>
        </is>
      </c>
      <c r="C78" t="inlineStr">
        <is>
          <t>JPM</t>
        </is>
      </c>
      <c r="D78" t="inlineStr">
        <is>
          <t>JPMorgan Chase &amp; Co</t>
        </is>
      </c>
      <c r="E78" t="inlineStr">
        <is>
          <t>10.87</t>
        </is>
      </c>
      <c r="F78" t="inlineStr">
        <is>
          <t>General</t>
        </is>
      </c>
      <c r="G78" t="inlineStr">
        <is>
          <t>ECB fines JPMorgan's European arm 12.2 million euros for misreporting capital requirements</t>
        </is>
      </c>
      <c r="H78" s="3" t="inlineStr">
        <is>
          <t>https://ca.finance.yahoo.com/news/ecb-fines-jpmorgan-12-2-171440440.html?.tsrc=rss</t>
        </is>
      </c>
      <c r="I78" t="inlineStr">
        <is>
          <t>2026-02-19</t>
        </is>
      </c>
      <c r="J78" t="inlineStr">
        <is>
          <t>ECB fines JPMorgan's European arm 12.2 million euros for mis. FRANKFURT, Feb 19 (Reuters) - The European Central Bank fined JPMorgan's European arm ‌1</t>
        </is>
      </c>
      <c r="K78" t="n">
        <v>-0.1483</v>
      </c>
    </row>
    <row r="79">
      <c r="A79" t="inlineStr">
        <is>
          <t>XLF</t>
        </is>
      </c>
      <c r="B79" t="inlineStr">
        <is>
          <t>Financials</t>
        </is>
      </c>
      <c r="C79" t="inlineStr">
        <is>
          <t>JPM</t>
        </is>
      </c>
      <c r="D79" t="inlineStr">
        <is>
          <t>JPMorgan Chase &amp; Co</t>
        </is>
      </c>
      <c r="E79" t="inlineStr">
        <is>
          <t>10.87</t>
        </is>
      </c>
      <c r="F79" t="inlineStr">
        <is>
          <t>Regulatory</t>
        </is>
      </c>
      <c r="G79" t="inlineStr">
        <is>
          <t>JPMorgan Says Trump’s $5 Billion Suit ‘Fraudulently’ Includes Dimon</t>
        </is>
      </c>
      <c r="H79" s="3" t="inlineStr">
        <is>
          <t>https://finance.yahoo.com/news/jpmorgan-says-trump-5-billion-194855618.html?.tsrc=rss</t>
        </is>
      </c>
      <c r="I79" t="inlineStr">
        <is>
          <t>2026-02-19</t>
        </is>
      </c>
      <c r="J79" t="inlineStr">
        <is>
          <t>JPMorgan Says Trump’s $5 Billion Suit ‘Fraudulently’ Include. (Bloomberg) -- JPMorgan Chase &amp; Co. said President Donald Trump improperly named the ban</t>
        </is>
      </c>
      <c r="K79" s="7" t="n">
        <v>-0.4428</v>
      </c>
    </row>
    <row r="80">
      <c r="A80" t="inlineStr">
        <is>
          <t>XLF</t>
        </is>
      </c>
      <c r="B80" t="inlineStr">
        <is>
          <t>Financials</t>
        </is>
      </c>
      <c r="C80" t="inlineStr">
        <is>
          <t>JPM</t>
        </is>
      </c>
      <c r="D80" t="inlineStr">
        <is>
          <t>JPMorgan Chase &amp; Co</t>
        </is>
      </c>
      <c r="E80" t="inlineStr">
        <is>
          <t>10.87</t>
        </is>
      </c>
      <c r="F80" t="inlineStr">
        <is>
          <t>Regulatory</t>
        </is>
      </c>
      <c r="G80" t="inlineStr">
        <is>
          <t>JPMorgan Chase pushes back on Trump’s $5 billion lawsuit, arguing it ‘fraudulently’ includes Jamie D</t>
        </is>
      </c>
      <c r="H80" s="3" t="inlineStr">
        <is>
          <t>https://www.cnn.com/2026/02/19/investing/jamie-dimon-jpmorgan-trump-lawsuit?.tsrc=rss</t>
        </is>
      </c>
      <c r="I80" t="inlineStr">
        <is>
          <t>2026-02-19</t>
        </is>
      </c>
      <c r="J80" t="inlineStr">
        <is>
          <t>JPMorgan Chase pushes back on Trump’s $5 billion lawsuit, ar. JPMorgan Chase on Thursday hit back at President Donald Trump’s debanking lawsuit agains</t>
        </is>
      </c>
      <c r="K80" s="6" t="n">
        <v>-0.6864</v>
      </c>
    </row>
    <row r="81">
      <c r="A81" t="inlineStr">
        <is>
          <t>XLF</t>
        </is>
      </c>
      <c r="B81" t="inlineStr">
        <is>
          <t>Financials</t>
        </is>
      </c>
      <c r="C81" t="inlineStr">
        <is>
          <t>JPM</t>
        </is>
      </c>
      <c r="D81" t="inlineStr">
        <is>
          <t>JPMorgan Chase &amp; Co</t>
        </is>
      </c>
      <c r="E81" t="inlineStr">
        <is>
          <t>10.87</t>
        </is>
      </c>
      <c r="F81" t="inlineStr">
        <is>
          <t>Earnings</t>
        </is>
      </c>
      <c r="G81" t="inlineStr">
        <is>
          <t>Why The Narrative Around Croda International LSE CRDA Is Shifting After JPMorgan Model Updates</t>
        </is>
      </c>
      <c r="H81" s="3" t="inlineStr">
        <is>
          <t>https://finance.yahoo.com/news/why-narrative-around-croda-international-160853895.html?.tsrc=rss</t>
        </is>
      </c>
      <c r="I81" t="inlineStr">
        <is>
          <t>2026-02-19</t>
        </is>
      </c>
      <c r="J81" t="inlineStr">
        <is>
          <t>Why The Narrative Around Croda International LSE CRDA Is Shi. Find your next quality investment with Simply Wall St's easy and powerful screener, trus</t>
        </is>
      </c>
      <c r="K81" s="4" t="n">
        <v>0.603</v>
      </c>
    </row>
    <row r="82">
      <c r="A82" t="inlineStr">
        <is>
          <t>XLF</t>
        </is>
      </c>
      <c r="B82" t="inlineStr">
        <is>
          <t>Financials</t>
        </is>
      </c>
      <c r="C82" t="inlineStr">
        <is>
          <t>JPM</t>
        </is>
      </c>
      <c r="D82" t="inlineStr">
        <is>
          <t>JPMorgan Chase &amp; Co</t>
        </is>
      </c>
      <c r="E82" t="inlineStr">
        <is>
          <t>10.87</t>
        </is>
      </c>
      <c r="F82" t="inlineStr">
        <is>
          <t>Product</t>
        </is>
      </c>
      <c r="G82" t="inlineStr">
        <is>
          <t>Should JPMorgan BetaBuilders U.S. Mid Cap Equity ETF (BBMC) Be on Your Investing Radar?</t>
        </is>
      </c>
      <c r="H82" s="3" t="inlineStr">
        <is>
          <t>https://finance.yahoo.com/news/jpmorgan-betabuilders-u-mid-cap-112002041.html?.tsrc=rss</t>
        </is>
      </c>
      <c r="I82" t="inlineStr">
        <is>
          <t>2026-02-19</t>
        </is>
      </c>
      <c r="J82" t="inlineStr">
        <is>
          <t xml:space="preserve">Should JPMorgan BetaBuilders U.S. Mid Cap Equity ETF (BBMC) . Launched on April 14, 2020, the JPMorgan BetaBuilders U. Mid Cap Equity ETF (BBMC) is a </t>
        </is>
      </c>
      <c r="K82" s="5" t="n">
        <v>0.3269</v>
      </c>
    </row>
    <row r="83">
      <c r="A83" t="inlineStr">
        <is>
          <t>XLF</t>
        </is>
      </c>
      <c r="B83" t="inlineStr">
        <is>
          <t>Financials</t>
        </is>
      </c>
      <c r="C83" t="inlineStr">
        <is>
          <t>JPM</t>
        </is>
      </c>
      <c r="D83" t="inlineStr">
        <is>
          <t>JPMorgan Chase &amp; Co</t>
        </is>
      </c>
      <c r="E83" t="inlineStr">
        <is>
          <t>10.87</t>
        </is>
      </c>
      <c r="F83" t="inlineStr">
        <is>
          <t>Product</t>
        </is>
      </c>
      <c r="G83" t="inlineStr">
        <is>
          <t>JPMorgan Chase to add 160 new branches this year</t>
        </is>
      </c>
      <c r="H83" s="3" t="inlineStr">
        <is>
          <t>https://www.retailbankerinternational.com/news/jpmorgan-chase-add-160-branches/?.tsrc=rss</t>
        </is>
      </c>
      <c r="I83" t="inlineStr">
        <is>
          <t>2026-02-19</t>
        </is>
      </c>
      <c r="J83" t="inlineStr">
        <is>
          <t>JPMorgan Chase to add 160 new branches this year. The expansion is expected to extend services to new areas, including low-to-moderate income and rura</t>
        </is>
      </c>
      <c r="K83" s="4" t="n">
        <v>0.6644</v>
      </c>
    </row>
    <row r="84">
      <c r="A84" t="inlineStr">
        <is>
          <t>XLF</t>
        </is>
      </c>
      <c r="B84" t="inlineStr">
        <is>
          <t>Financials</t>
        </is>
      </c>
      <c r="C84" t="inlineStr">
        <is>
          <t>JPM</t>
        </is>
      </c>
      <c r="D84" t="inlineStr">
        <is>
          <t>JPMorgan Chase &amp; Co</t>
        </is>
      </c>
      <c r="E84" t="inlineStr">
        <is>
          <t>10.87</t>
        </is>
      </c>
      <c r="F84" t="inlineStr">
        <is>
          <t>Earnings</t>
        </is>
      </c>
      <c r="G84" t="inlineStr">
        <is>
          <t>Tariffs paid by midsize US companies tripled last year, a JPMorganChase Institute study shows</t>
        </is>
      </c>
      <c r="H84" s="3" t="inlineStr">
        <is>
          <t>https://finance.yahoo.com/news/tariffs-paid-midsized-us-firms-111644669.html?.tsrc=rss</t>
        </is>
      </c>
      <c r="I84" t="inlineStr">
        <is>
          <t>2026-02-19</t>
        </is>
      </c>
      <c r="J84" t="inlineStr">
        <is>
          <t>Tariffs paid by midsize US companies tripled last year, a JP. businesses tripled over the course of past year, new research tied to one of America’s l</t>
        </is>
      </c>
      <c r="K84" s="7" t="n">
        <v>-0.2239</v>
      </c>
    </row>
    <row r="85">
      <c r="A85" t="inlineStr">
        <is>
          <t>XLF</t>
        </is>
      </c>
      <c r="B85" t="inlineStr">
        <is>
          <t>Financials</t>
        </is>
      </c>
      <c r="C85" t="inlineStr">
        <is>
          <t>V</t>
        </is>
      </c>
      <c r="D85" t="inlineStr">
        <is>
          <t>Visa Inc Class A</t>
        </is>
      </c>
      <c r="E85" t="inlineStr">
        <is>
          <t>7.09</t>
        </is>
      </c>
      <c r="F85" t="inlineStr">
        <is>
          <t>M&amp;A</t>
        </is>
      </c>
      <c r="G85" t="inlineStr">
        <is>
          <t>Visa Expands In Argentina With Deal</t>
        </is>
      </c>
      <c r="H85" s="3" t="inlineStr">
        <is>
          <t>https://finance.yahoo.com/news/visa-expands-argentina-deal-172005825.html?.tsrc=rss</t>
        </is>
      </c>
      <c r="I85" t="inlineStr">
        <is>
          <t>2026-02-19</t>
        </is>
      </c>
      <c r="J85" t="inlineStr">
        <is>
          <t xml:space="preserve">Visa Expands In Argentina With Deal. This article first appeared on GuruFocus. Visa (NYSE:V) is making a bigger bet on Argentina, agreeing to acquire </t>
        </is>
      </c>
      <c r="K85" s="4" t="n">
        <v>0.579</v>
      </c>
    </row>
    <row r="86">
      <c r="A86" t="inlineStr">
        <is>
          <t>XLF</t>
        </is>
      </c>
      <c r="B86" t="inlineStr">
        <is>
          <t>Financials</t>
        </is>
      </c>
      <c r="C86" t="inlineStr">
        <is>
          <t>V</t>
        </is>
      </c>
      <c r="D86" t="inlineStr">
        <is>
          <t>Visa Inc Class A</t>
        </is>
      </c>
      <c r="E86" t="inlineStr">
        <is>
          <t>7.09</t>
        </is>
      </c>
      <c r="F86" t="inlineStr">
        <is>
          <t>M&amp;A</t>
        </is>
      </c>
      <c r="G86" t="inlineStr">
        <is>
          <t>Visa to buy payment firms Prisma, Newpay to deepen Argentina footprint</t>
        </is>
      </c>
      <c r="H86" s="3" t="inlineStr">
        <is>
          <t>https://finance.yahoo.com/news/visa-strikes-deal-prisma-newpay-151420441.html?.tsrc=rss</t>
        </is>
      </c>
      <c r="I86" t="inlineStr">
        <is>
          <t>2026-02-19</t>
        </is>
      </c>
      <c r="J86" t="inlineStr">
        <is>
          <t>Visa to buy payment firms Prisma, Newpay to deepen Argentina. Feb 19 (Reuters) - Card giant Visa said on Thursday it would buy payment platforms Prism</t>
        </is>
      </c>
      <c r="K86" s="5" t="n">
        <v>0.4255</v>
      </c>
    </row>
    <row r="87">
      <c r="A87" t="inlineStr">
        <is>
          <t>XLF</t>
        </is>
      </c>
      <c r="B87" t="inlineStr">
        <is>
          <t>Financials</t>
        </is>
      </c>
      <c r="C87" t="inlineStr">
        <is>
          <t>V</t>
        </is>
      </c>
      <c r="D87" t="inlineStr">
        <is>
          <t>Visa Inc Class A</t>
        </is>
      </c>
      <c r="E87" t="inlineStr">
        <is>
          <t>7.09</t>
        </is>
      </c>
      <c r="F87" t="inlineStr">
        <is>
          <t>Earnings</t>
        </is>
      </c>
      <c r="G87" t="inlineStr">
        <is>
          <t>American Express and Visa alumni raise $4 million for Rhythmic, which partners with brands to provid</t>
        </is>
      </c>
      <c r="H87" s="3" t="inlineStr">
        <is>
          <t>https://finance.yahoo.com/news/american-express-visa-alumni-raise-150000668.html?.tsrc=rss</t>
        </is>
      </c>
      <c r="I87" t="inlineStr">
        <is>
          <t>2026-02-19</t>
        </is>
      </c>
      <c r="J87" t="inlineStr">
        <is>
          <t>American Express and Visa alumni raise $4 million for Rhythm. Even as stablecoins gain popularity, Aaron Marks and Joseph Hayes believe the technology</t>
        </is>
      </c>
      <c r="K87" s="5" t="n">
        <v>0.4604</v>
      </c>
    </row>
    <row r="88">
      <c r="A88" t="inlineStr">
        <is>
          <t>XLF</t>
        </is>
      </c>
      <c r="B88" t="inlineStr">
        <is>
          <t>Financials</t>
        </is>
      </c>
      <c r="C88" t="inlineStr">
        <is>
          <t>V</t>
        </is>
      </c>
      <c r="D88" t="inlineStr">
        <is>
          <t>Visa Inc Class A</t>
        </is>
      </c>
      <c r="E88" t="inlineStr">
        <is>
          <t>7.09</t>
        </is>
      </c>
      <c r="F88" t="inlineStr">
        <is>
          <t>Earnings</t>
        </is>
      </c>
      <c r="G88" t="inlineStr">
        <is>
          <t>Advent to Sell Prisma and Newpay to Visa</t>
        </is>
      </c>
      <c r="H88" s="3" t="inlineStr">
        <is>
          <t>https://finance.yahoo.com/news/advent-sell-prisma-newpay-visa-141300081.html?.tsrc=rss</t>
        </is>
      </c>
      <c r="I88" t="inlineStr">
        <is>
          <t>2026-02-19</t>
        </is>
      </c>
      <c r="J88" t="inlineStr">
        <is>
          <t>Advent to Sell Prisma and Newpay to Visa. SÃO PAULO &amp; BUENOS AIRES, Argentina, February 19, 2026--(BUSINESS WIRE)--Advent International, a leading glo</t>
        </is>
      </c>
      <c r="K88" s="4" t="n">
        <v>0.6364</v>
      </c>
    </row>
    <row r="89">
      <c r="A89" t="inlineStr">
        <is>
          <t>XLF</t>
        </is>
      </c>
      <c r="B89" t="inlineStr">
        <is>
          <t>Financials</t>
        </is>
      </c>
      <c r="C89" t="inlineStr">
        <is>
          <t>V</t>
        </is>
      </c>
      <c r="D89" t="inlineStr">
        <is>
          <t>Visa Inc Class A</t>
        </is>
      </c>
      <c r="E89" t="inlineStr">
        <is>
          <t>7.09</t>
        </is>
      </c>
      <c r="F89" t="inlineStr">
        <is>
          <t>M&amp;A</t>
        </is>
      </c>
      <c r="G89" t="inlineStr">
        <is>
          <t>Visa to Acquire Prisma Medios de Pago and Newpay in Argentina</t>
        </is>
      </c>
      <c r="H89" s="3" t="inlineStr">
        <is>
          <t>https://finance.yahoo.com/news/visa-acquire-prisma-medios-pago-140800025.html?.tsrc=rss</t>
        </is>
      </c>
      <c r="I89" t="inlineStr">
        <is>
          <t>2026-02-19</t>
        </is>
      </c>
      <c r="J89" t="inlineStr">
        <is>
          <t>Visa to Acquire Prisma Medios de Pago and Newpay in Argentin. BUENOS AIRES, Argentina, February 19, 2026--(BUSINESS WIRE)--Visa (NYSE: V) today announ</t>
        </is>
      </c>
      <c r="K89" s="4" t="n">
        <v>0.7811</v>
      </c>
    </row>
    <row r="90">
      <c r="A90" t="inlineStr">
        <is>
          <t>XLF</t>
        </is>
      </c>
      <c r="B90" t="inlineStr">
        <is>
          <t>Financials</t>
        </is>
      </c>
      <c r="C90" t="inlineStr">
        <is>
          <t>V</t>
        </is>
      </c>
      <c r="D90" t="inlineStr">
        <is>
          <t>Visa Inc Class A</t>
        </is>
      </c>
      <c r="E90" t="inlineStr">
        <is>
          <t>7.09</t>
        </is>
      </c>
      <c r="F90" t="inlineStr">
        <is>
          <t>Product</t>
        </is>
      </c>
      <c r="G90" t="inlineStr">
        <is>
          <t>Visa Renews Partnership Across Red Bull Formula One Teams</t>
        </is>
      </c>
      <c r="H90" s="3" t="inlineStr">
        <is>
          <t>https://finance.yahoo.com/news/visa-renews-partnership-across-red-140000747.html?.tsrc=rss</t>
        </is>
      </c>
      <c r="I90" t="inlineStr">
        <is>
          <t>2026-02-19</t>
        </is>
      </c>
      <c r="J90" t="inlineStr">
        <is>
          <t xml:space="preserve">Visa Renews Partnership Across Red Bull Formula One Teams. Long‑term renewal deepens Visa’s presence across Red Bull F1 Teams with enhanced branding, </t>
        </is>
      </c>
      <c r="K90" s="4" t="n">
        <v>0.8621</v>
      </c>
    </row>
    <row r="91">
      <c r="A91" t="inlineStr">
        <is>
          <t>XLF</t>
        </is>
      </c>
      <c r="B91" t="inlineStr">
        <is>
          <t>Financials</t>
        </is>
      </c>
      <c r="C91" t="inlineStr">
        <is>
          <t>V</t>
        </is>
      </c>
      <c r="D91" t="inlineStr">
        <is>
          <t>Visa Inc Class A</t>
        </is>
      </c>
      <c r="E91" t="inlineStr">
        <is>
          <t>7.09</t>
        </is>
      </c>
      <c r="F91" t="inlineStr">
        <is>
          <t>Earnings</t>
        </is>
      </c>
      <c r="G91" t="inlineStr">
        <is>
          <t>Visa to buy Prisma in Argentina</t>
        </is>
      </c>
      <c r="H91" s="3" t="inlineStr">
        <is>
          <t>https://www.paymentsdive.com/news/visa-to-buy-prisma-in-argentina/812584/?.tsrc=rss</t>
        </is>
      </c>
      <c r="I91" t="inlineStr">
        <is>
          <t>2026-02-19</t>
        </is>
      </c>
      <c r="J91" t="inlineStr">
        <is>
          <t>Visa to buy Prisma in Argentina. The card network company is buying the card processing and real-time payments assets as it expands its reach in South</t>
        </is>
      </c>
      <c r="K91" s="5" t="n">
        <v>0.3476</v>
      </c>
    </row>
    <row r="92">
      <c r="A92" t="inlineStr">
        <is>
          <t>XLF</t>
        </is>
      </c>
      <c r="B92" t="inlineStr">
        <is>
          <t>Financials</t>
        </is>
      </c>
      <c r="C92" t="inlineStr">
        <is>
          <t>MA</t>
        </is>
      </c>
      <c r="D92" t="inlineStr">
        <is>
          <t>Mastercard Inc Class A</t>
        </is>
      </c>
      <c r="E92" t="inlineStr">
        <is>
          <t>5.77</t>
        </is>
      </c>
      <c r="F92" t="inlineStr">
        <is>
          <t>Product</t>
        </is>
      </c>
      <c r="G92" t="inlineStr">
        <is>
          <t>Mastercard enables Google Pay for cardholders in Saudi Arabia</t>
        </is>
      </c>
      <c r="H92" s="3" t="inlineStr">
        <is>
          <t>https://www.electronicpaymentsinternational.com/news/mastercard-google-pay-saudi-arabia/?.tsrc=rss</t>
        </is>
      </c>
      <c r="I92" t="inlineStr">
        <is>
          <t>2026-02-19</t>
        </is>
      </c>
      <c r="J92" t="inlineStr">
        <is>
          <t>Mastercard enables Google Pay for cardholders in Saudi Arabi. The move aims to boost digital and cashless payments, including contactless transactions</t>
        </is>
      </c>
      <c r="K92" s="4" t="n">
        <v>0.7664</v>
      </c>
    </row>
    <row r="93">
      <c r="A93" t="inlineStr">
        <is>
          <t>XLF</t>
        </is>
      </c>
      <c r="B93" t="inlineStr">
        <is>
          <t>Financials</t>
        </is>
      </c>
      <c r="C93" t="inlineStr">
        <is>
          <t>BAC</t>
        </is>
      </c>
      <c r="D93" t="inlineStr">
        <is>
          <t>Bank of America Corp</t>
        </is>
      </c>
      <c r="E93" t="inlineStr">
        <is>
          <t>4.67</t>
        </is>
      </c>
      <c r="F93" t="inlineStr">
        <is>
          <t>Earnings</t>
        </is>
      </c>
      <c r="G93" t="inlineStr">
        <is>
          <t>Investors Heavily Search Bank of America Corporation (BAC): Here is What You Need to Know</t>
        </is>
      </c>
      <c r="H93" s="3" t="inlineStr">
        <is>
          <t>https://finance.yahoo.com/news/investors-heavily-search-bank-america-140004226.html?.tsrc=rss</t>
        </is>
      </c>
      <c r="I93" t="inlineStr">
        <is>
          <t>2026-02-19</t>
        </is>
      </c>
      <c r="J93" t="inlineStr">
        <is>
          <t>Investors Heavily Search Bank of America Corporation (BAC): . Bank of America (BAC) has been one of the most searched-for stocks on Zacks. So, you mig</t>
        </is>
      </c>
      <c r="K93" t="n">
        <v>-0.039</v>
      </c>
    </row>
    <row r="94">
      <c r="A94" t="inlineStr">
        <is>
          <t>XLF</t>
        </is>
      </c>
      <c r="B94" t="inlineStr">
        <is>
          <t>Financials</t>
        </is>
      </c>
      <c r="C94" t="inlineStr">
        <is>
          <t>BAC</t>
        </is>
      </c>
      <c r="D94" t="inlineStr">
        <is>
          <t>Bank of America Corp</t>
        </is>
      </c>
      <c r="E94" t="inlineStr">
        <is>
          <t>4.67</t>
        </is>
      </c>
      <c r="F94" t="inlineStr">
        <is>
          <t>Earnings</t>
        </is>
      </c>
      <c r="G94" t="inlineStr">
        <is>
          <t>Why This 1 Unstoppable Stock Could Be the Next Bank of America</t>
        </is>
      </c>
      <c r="H94" s="3" t="inlineStr">
        <is>
          <t>https://www.fool.com/investing/2026/02/19/why-this-1-unstoppable-stock-could-be-the-next-ban/?.tsrc=rss</t>
        </is>
      </c>
      <c r="I94" t="inlineStr">
        <is>
          <t>2026-02-19</t>
        </is>
      </c>
      <c r="J94" t="inlineStr">
        <is>
          <t>Why This 1 Unstoppable Stock Could Be the Next Bank of Ameri. SoFi is rapidly gaining market share as a top online bank. Bank of America (BAC 1</t>
        </is>
      </c>
      <c r="K94" s="5" t="n">
        <v>0.4641</v>
      </c>
    </row>
    <row r="95">
      <c r="A95" t="inlineStr">
        <is>
          <t>XLF</t>
        </is>
      </c>
      <c r="B95" t="inlineStr">
        <is>
          <t>Financials</t>
        </is>
      </c>
      <c r="C95" t="inlineStr">
        <is>
          <t>WFC</t>
        </is>
      </c>
      <c r="D95" t="inlineStr">
        <is>
          <t>Wells Fargo &amp; Co</t>
        </is>
      </c>
      <c r="E95" t="inlineStr">
        <is>
          <t>3.71</t>
        </is>
      </c>
      <c r="F95" t="inlineStr">
        <is>
          <t>Earnings</t>
        </is>
      </c>
      <c r="G95" t="inlineStr">
        <is>
          <t>Citigroup vs Wells Fargo: Which Wins on Dividends, Buybacks, Interest Rate Exposure?</t>
        </is>
      </c>
      <c r="H95" s="3" t="inlineStr">
        <is>
          <t>https://247wallst.com/investing/2026/02/19/citigroup-vs-wells-fargo-which-wins-on-dividends-buybacks-interest-rate-exposure/?.tsrc=rss</t>
        </is>
      </c>
      <c r="I95" t="inlineStr">
        <is>
          <t>2026-02-19</t>
        </is>
      </c>
      <c r="J95" t="inlineStr">
        <is>
          <t>Citigroup vs Wells Fargo: Which Wins on Dividends, Buybacks,. Wells Fargo (NYSE: WFC) and Citigroup (NYSE: C) both reported Q4 2025 earnings on Januar</t>
        </is>
      </c>
      <c r="K95" s="5" t="n">
        <v>0.2803</v>
      </c>
    </row>
    <row r="96">
      <c r="A96" t="inlineStr">
        <is>
          <t>XLF</t>
        </is>
      </c>
      <c r="B96" t="inlineStr">
        <is>
          <t>Financials</t>
        </is>
      </c>
      <c r="C96" t="inlineStr">
        <is>
          <t>WFC</t>
        </is>
      </c>
      <c r="D96" t="inlineStr">
        <is>
          <t>Wells Fargo &amp; Co</t>
        </is>
      </c>
      <c r="E96" t="inlineStr">
        <is>
          <t>3.71</t>
        </is>
      </c>
      <c r="F96" t="inlineStr">
        <is>
          <t>Earnings</t>
        </is>
      </c>
      <c r="G96" t="inlineStr">
        <is>
          <t>How Wells Fargo’s New Long-Term Debt and Preferred Dividends Will Impact Wells Fargo (WFC) Investors</t>
        </is>
      </c>
      <c r="H96" s="3" t="inlineStr">
        <is>
          <t>https://finance.yahoo.com/news/wells-fargo-long-term-debt-130907272.html?.tsrc=rss</t>
        </is>
      </c>
      <c r="I96" t="inlineStr">
        <is>
          <t>2026-02-19</t>
        </is>
      </c>
      <c r="J96" t="inlineStr">
        <is>
          <t>How Wells Fargo’s New Long-Term Debt and Preferred Dividends. In recent days, Wells Fargo &amp; Company issued multiple series of fixed-rate senior unsecu</t>
        </is>
      </c>
      <c r="K96" s="5" t="n">
        <v>0.4447</v>
      </c>
    </row>
    <row r="97">
      <c r="A97" t="inlineStr">
        <is>
          <t>XLF</t>
        </is>
      </c>
      <c r="B97" t="inlineStr">
        <is>
          <t>Financials</t>
        </is>
      </c>
      <c r="C97" t="inlineStr">
        <is>
          <t>GS</t>
        </is>
      </c>
      <c r="D97" t="inlineStr">
        <is>
          <t>The Goldman Sachs Group Inc</t>
        </is>
      </c>
      <c r="E97" t="inlineStr">
        <is>
          <t>3.66</t>
        </is>
      </c>
      <c r="F97" t="inlineStr">
        <is>
          <t>Earnings</t>
        </is>
      </c>
      <c r="G97" t="inlineStr">
        <is>
          <t>5 Dividend-Paying Giants Have Been on Goldman Sachs Conviction List the Longest</t>
        </is>
      </c>
      <c r="H97" s="3" t="inlineStr">
        <is>
          <t>https://247wallst.com/investing/2026/02/19/5-dividend-paying-giants-have-been-on-goldman-sachs-conviction-list-the-longest/?.tsrc=rss</t>
        </is>
      </c>
      <c r="I97" t="inlineStr">
        <is>
          <t>2026-02-19</t>
        </is>
      </c>
      <c r="J97" t="inlineStr">
        <is>
          <t xml:space="preserve">5 Dividend-Paying Giants Have Been on Goldman Sachs Convicti. Goldman Sachs is the acknowledged leader in the investment landscape on Wall Street and </t>
        </is>
      </c>
      <c r="K97" s="5" t="n">
        <v>0.3834</v>
      </c>
    </row>
    <row r="98">
      <c r="A98" t="inlineStr">
        <is>
          <t>XLF</t>
        </is>
      </c>
      <c r="B98" t="inlineStr">
        <is>
          <t>Financials</t>
        </is>
      </c>
      <c r="C98" t="inlineStr">
        <is>
          <t>MS</t>
        </is>
      </c>
      <c r="D98" t="inlineStr">
        <is>
          <t>Morgan Stanley</t>
        </is>
      </c>
      <c r="E98" t="inlineStr">
        <is>
          <t>2.88</t>
        </is>
      </c>
      <c r="F98" t="inlineStr">
        <is>
          <t>M&amp;A</t>
        </is>
      </c>
      <c r="G98" t="inlineStr">
        <is>
          <t>Morgan Stanley Slashes Prices for Clients Trading Private Shares</t>
        </is>
      </c>
      <c r="H98" s="3" t="inlineStr">
        <is>
          <t>https://www.wealthmanagement.com/alternative-investments/morgan-stanley-slashes-prices-for-clients-trading-private-shares?.tsrc=rss</t>
        </is>
      </c>
      <c r="I98" t="inlineStr">
        <is>
          <t>2026-02-19</t>
        </is>
      </c>
      <c r="J98" t="inlineStr">
        <is>
          <t>Morgan Stanley Slashes Prices for Clients Trading Private Sh. The bank lowered fees for both buyers and sellers to 2. 5% from 5% for most transactions</t>
        </is>
      </c>
      <c r="K98" s="5" t="n">
        <v>0.2996</v>
      </c>
    </row>
    <row r="99">
      <c r="A99" t="inlineStr">
        <is>
          <t>XLF</t>
        </is>
      </c>
      <c r="B99" t="inlineStr">
        <is>
          <t>Financials</t>
        </is>
      </c>
      <c r="C99" t="inlineStr">
        <is>
          <t>MS</t>
        </is>
      </c>
      <c r="D99" t="inlineStr">
        <is>
          <t>Morgan Stanley</t>
        </is>
      </c>
      <c r="E99" t="inlineStr">
        <is>
          <t>2.88</t>
        </is>
      </c>
      <c r="F99" t="inlineStr">
        <is>
          <t>General</t>
        </is>
      </c>
      <c r="G99" t="inlineStr">
        <is>
          <t>Morgan Stanley Slashes Fees for Private-Market Investments Through EquityZen</t>
        </is>
      </c>
      <c r="H99" s="3" t="inlineStr">
        <is>
          <t>https://finance.yahoo.com/m/4a6c5dd6-6f5a-3077-953f-bfa3bd820e4d/morgan-stanley-slashes-fees.html?.tsrc=rss</t>
        </is>
      </c>
      <c r="I99" t="inlineStr">
        <is>
          <t>2026-02-19</t>
        </is>
      </c>
      <c r="J99" t="inlineStr">
        <is>
          <t>Morgan Stanley Slashes Fees for Private-Market Investments T. The move continues Morgan Stanley’s push to expand access to private companies for wealt</t>
        </is>
      </c>
      <c r="K99" t="n">
        <v>-0.0883</v>
      </c>
    </row>
    <row r="100">
      <c r="A100" t="inlineStr">
        <is>
          <t>XLF</t>
        </is>
      </c>
      <c r="B100" t="inlineStr">
        <is>
          <t>Financials</t>
        </is>
      </c>
      <c r="C100" t="inlineStr">
        <is>
          <t>MS</t>
        </is>
      </c>
      <c r="D100" t="inlineStr">
        <is>
          <t>Morgan Stanley</t>
        </is>
      </c>
      <c r="E100" t="inlineStr">
        <is>
          <t>2.88</t>
        </is>
      </c>
      <c r="F100" t="inlineStr">
        <is>
          <t>Earnings</t>
        </is>
      </c>
      <c r="G100" t="inlineStr">
        <is>
          <t>Omnicom's Future Depends on Revenue Growth Durability, Morgan Stanley Says</t>
        </is>
      </c>
      <c r="H100" s="3" t="inlineStr">
        <is>
          <t>https://finance.yahoo.com/news/omnicom-apos-future-depends-revenue-162715674.html?.tsrc=rss</t>
        </is>
      </c>
      <c r="I100" t="inlineStr">
        <is>
          <t>2026-02-19</t>
        </is>
      </c>
      <c r="J100" t="inlineStr">
        <is>
          <t>Omnicom's Future Depends on Revenue Growth Durability, Morga. Omnicom Group's (OMC) future and possible rerating by Morgan Stanley will depend on "imp</t>
        </is>
      </c>
      <c r="K100" s="4" t="n">
        <v>0.7469</v>
      </c>
    </row>
    <row r="101">
      <c r="A101" t="inlineStr">
        <is>
          <t>XLF</t>
        </is>
      </c>
      <c r="B101" t="inlineStr">
        <is>
          <t>Financials</t>
        </is>
      </c>
      <c r="C101" t="inlineStr">
        <is>
          <t>MS</t>
        </is>
      </c>
      <c r="D101" t="inlineStr">
        <is>
          <t>Morgan Stanley</t>
        </is>
      </c>
      <c r="E101" t="inlineStr">
        <is>
          <t>2.88</t>
        </is>
      </c>
      <c r="F101" t="inlineStr">
        <is>
          <t>M&amp;A</t>
        </is>
      </c>
      <c r="G101" t="inlineStr">
        <is>
          <t>Morgan Stanley Wealth Management Reduces Fees on Private Shares Marketplace EquityZen, Broadening Pr</t>
        </is>
      </c>
      <c r="H101" s="3" t="inlineStr">
        <is>
          <t>https://finance.yahoo.com/news/morgan-stanley-wealth-management-reduces-143000524.html?.tsrc=rss</t>
        </is>
      </c>
      <c r="I101" t="inlineStr">
        <is>
          <t>2026-02-19</t>
        </is>
      </c>
      <c r="J101" t="inlineStr">
        <is>
          <t>Morgan Stanley Wealth Management Reduces Fees on Private Sha. Buy and Sell Side Fees Reduced to 2. 5% for Investors and Shareholders NEW YORK, Februar</t>
        </is>
      </c>
      <c r="K101" s="4" t="n">
        <v>0.5495</v>
      </c>
    </row>
    <row r="102">
      <c r="A102" t="inlineStr">
        <is>
          <t>XLF</t>
        </is>
      </c>
      <c r="B102" t="inlineStr">
        <is>
          <t>Financials</t>
        </is>
      </c>
      <c r="C102" t="inlineStr">
        <is>
          <t>MS</t>
        </is>
      </c>
      <c r="D102" t="inlineStr">
        <is>
          <t>Morgan Stanley</t>
        </is>
      </c>
      <c r="E102" t="inlineStr">
        <is>
          <t>2.88</t>
        </is>
      </c>
      <c r="F102" t="inlineStr">
        <is>
          <t>Earnings</t>
        </is>
      </c>
      <c r="G102" t="inlineStr">
        <is>
          <t>Amazon Remains Morgan Stanley's Top Pick on GenAI Momentum</t>
        </is>
      </c>
      <c r="H102" s="3" t="inlineStr">
        <is>
          <t>https://finance.yahoo.com/news/amazon-remains-morgan-stanleys-top-140341859.html?.tsrc=rss</t>
        </is>
      </c>
      <c r="I102" t="inlineStr">
        <is>
          <t>2026-02-19</t>
        </is>
      </c>
      <c r="J102" t="inlineStr">
        <is>
          <t xml:space="preserve">Amazon Remains Morgan Stanley's Top Pick on GenAI Momentum. This article first appeared on GuruFocus. com (AMZN, Financials) remains Morgan Stanley's </t>
        </is>
      </c>
      <c r="K102" s="4" t="n">
        <v>0.7786</v>
      </c>
    </row>
    <row r="103">
      <c r="A103" t="inlineStr">
        <is>
          <t>XLF</t>
        </is>
      </c>
      <c r="B103" t="inlineStr">
        <is>
          <t>Financials</t>
        </is>
      </c>
      <c r="C103" t="inlineStr">
        <is>
          <t>MS</t>
        </is>
      </c>
      <c r="D103" t="inlineStr">
        <is>
          <t>Morgan Stanley</t>
        </is>
      </c>
      <c r="E103" t="inlineStr">
        <is>
          <t>2.88</t>
        </is>
      </c>
      <c r="F103" t="inlineStr">
        <is>
          <t>Earnings</t>
        </is>
      </c>
      <c r="G103" t="inlineStr">
        <is>
          <t>Morgan Stanley sees a buying opportunity in this auto retail stock</t>
        </is>
      </c>
      <c r="H103" s="3" t="inlineStr">
        <is>
          <t>https://finance.yahoo.com/news/morgan-stanley-sees-buying-opportunity-122443454.html?.tsrc=rss</t>
        </is>
      </c>
      <c r="I103" t="inlineStr">
        <is>
          <t>2026-02-19</t>
        </is>
      </c>
      <c r="J103" t="inlineStr">
        <is>
          <t>Morgan Stanley sees a buying opportunity in this auto retail. com -- Morgan Stanley says the post-earnings pullback in one auto retail firm’s shares o</t>
        </is>
      </c>
      <c r="K103" t="n">
        <v>-0.1737</v>
      </c>
    </row>
    <row r="104">
      <c r="A104" t="inlineStr">
        <is>
          <t>XLF</t>
        </is>
      </c>
      <c r="B104" t="inlineStr">
        <is>
          <t>Financials</t>
        </is>
      </c>
      <c r="C104" t="inlineStr">
        <is>
          <t>MS</t>
        </is>
      </c>
      <c r="D104" t="inlineStr">
        <is>
          <t>Morgan Stanley</t>
        </is>
      </c>
      <c r="E104" t="inlineStr">
        <is>
          <t>2.88</t>
        </is>
      </c>
      <c r="F104" t="inlineStr">
        <is>
          <t>Analyst</t>
        </is>
      </c>
      <c r="G104" t="inlineStr">
        <is>
          <t>Morgan Stanley identifies best gas stocks amid AI data center boom</t>
        </is>
      </c>
      <c r="H104" s="3" t="inlineStr">
        <is>
          <t>https://finance.yahoo.com/news/morgan-stanley-identifies-best-gas-112231165.html?.tsrc=rss</t>
        </is>
      </c>
      <c r="I104" t="inlineStr">
        <is>
          <t>2026-02-19</t>
        </is>
      </c>
      <c r="J104" t="inlineStr">
        <is>
          <t>Morgan Stanley identifies best gas stocks amid AI data cente. com -- Morgan Stanley sees a major new demand tailwind emerging for U. natural gas as th</t>
        </is>
      </c>
      <c r="K104" s="4" t="n">
        <v>0.7887999999999999</v>
      </c>
    </row>
    <row r="105">
      <c r="A105" t="inlineStr">
        <is>
          <t>XLF</t>
        </is>
      </c>
      <c r="B105" t="inlineStr">
        <is>
          <t>Financials</t>
        </is>
      </c>
      <c r="C105" t="inlineStr">
        <is>
          <t>MS</t>
        </is>
      </c>
      <c r="D105" t="inlineStr">
        <is>
          <t>Morgan Stanley</t>
        </is>
      </c>
      <c r="E105" t="inlineStr">
        <is>
          <t>2.88</t>
        </is>
      </c>
      <c r="F105" t="inlineStr">
        <is>
          <t>Earnings</t>
        </is>
      </c>
      <c r="G105" t="inlineStr">
        <is>
          <t>Morgan Stanley Says These 2 Momentum Stocks Could Climb Even Higher</t>
        </is>
      </c>
      <c r="H105" s="3" t="inlineStr">
        <is>
          <t>https://finance.yahoo.com/news/morgan-stanley-says-2-momentum-105933765.html?.tsrc=rss</t>
        </is>
      </c>
      <c r="I105" t="inlineStr">
        <is>
          <t>2026-02-19</t>
        </is>
      </c>
      <c r="J105" t="inlineStr">
        <is>
          <t>Morgan Stanley Says These 2 Momentum Stocks Could Climb Even. Investors are often drawn to stocks that are already outperforming. Even though the fami</t>
        </is>
      </c>
      <c r="K105" s="4" t="n">
        <v>0.5995</v>
      </c>
    </row>
    <row r="106">
      <c r="A106" t="inlineStr">
        <is>
          <t>XLF</t>
        </is>
      </c>
      <c r="B106" t="inlineStr">
        <is>
          <t>Financials</t>
        </is>
      </c>
      <c r="C106" t="inlineStr">
        <is>
          <t>AXP</t>
        </is>
      </c>
      <c r="D106" t="inlineStr">
        <is>
          <t>American Express Co</t>
        </is>
      </c>
      <c r="E106" t="inlineStr">
        <is>
          <t>2.47</t>
        </is>
      </c>
      <c r="F106" t="inlineStr">
        <is>
          <t>Earnings</t>
        </is>
      </c>
      <c r="G106" t="inlineStr">
        <is>
          <t>Assessing American Express (AXP) After Its Recent Share Price Pullback</t>
        </is>
      </c>
      <c r="H106" s="3" t="inlineStr">
        <is>
          <t>https://finance.yahoo.com/news/assessing-american-express-axp-recent-201019544.html?.tsrc=rss</t>
        </is>
      </c>
      <c r="I106" t="inlineStr">
        <is>
          <t>2026-02-19</t>
        </is>
      </c>
      <c r="J106" t="inlineStr">
        <is>
          <t xml:space="preserve">Assessing American Express (AXP) After Its Recent Share Pric. Make better investment decisions with Simply Wall St's easy, visual tools that give you </t>
        </is>
      </c>
      <c r="K106" s="5" t="n">
        <v>0.3641</v>
      </c>
    </row>
    <row r="107">
      <c r="A107" t="inlineStr">
        <is>
          <t>XLF</t>
        </is>
      </c>
      <c r="B107" t="inlineStr">
        <is>
          <t>Financials</t>
        </is>
      </c>
      <c r="C107" t="inlineStr">
        <is>
          <t>AXP</t>
        </is>
      </c>
      <c r="D107" t="inlineStr">
        <is>
          <t>American Express Co</t>
        </is>
      </c>
      <c r="E107" t="inlineStr">
        <is>
          <t>2.47</t>
        </is>
      </c>
      <c r="F107" t="inlineStr">
        <is>
          <t>Earnings</t>
        </is>
      </c>
      <c r="G107" t="inlineStr">
        <is>
          <t>3 Predictions for American Express in 2026</t>
        </is>
      </c>
      <c r="H107" s="3" t="inlineStr">
        <is>
          <t>https://www.fool.com/investing/2026/02/19/3-predictions-for-american-express-in-2026/?.tsrc=rss</t>
        </is>
      </c>
      <c r="I107" t="inlineStr">
        <is>
          <t>2026-02-19</t>
        </is>
      </c>
      <c r="J107" t="inlineStr">
        <is>
          <t>3 Predictions for American Express in 2026. The stock had another fantastic year in 2025, rising 25%. American Express (AXP 1</t>
        </is>
      </c>
      <c r="K107" s="4" t="n">
        <v>0.6822</v>
      </c>
    </row>
    <row r="108">
      <c r="A108" t="inlineStr">
        <is>
          <t>XLF</t>
        </is>
      </c>
      <c r="B108" t="inlineStr">
        <is>
          <t>Financials</t>
        </is>
      </c>
      <c r="C108" t="inlineStr">
        <is>
          <t>AXP</t>
        </is>
      </c>
      <c r="D108" t="inlineStr">
        <is>
          <t>American Express Co</t>
        </is>
      </c>
      <c r="E108" t="inlineStr">
        <is>
          <t>2.47</t>
        </is>
      </c>
      <c r="F108" t="inlineStr">
        <is>
          <t>Earnings</t>
        </is>
      </c>
      <c r="G108" t="inlineStr">
        <is>
          <t>American Express (AXP) Valuation Check After Healthier January Credit Metrics</t>
        </is>
      </c>
      <c r="H108" s="3" t="inlineStr">
        <is>
          <t>https://finance.yahoo.com/news/american-express-axp-valuation-check-151854833.html?.tsrc=rss</t>
        </is>
      </c>
      <c r="I108" t="inlineStr">
        <is>
          <t>2026-02-19</t>
        </is>
      </c>
      <c r="J108" t="inlineStr">
        <is>
          <t xml:space="preserve">American Express (AXP) Valuation Check After Healthier Janua. Make better investment decisions with Simply Wall St's easy, visual tools that give you </t>
        </is>
      </c>
      <c r="K108" s="5" t="n">
        <v>0.3684</v>
      </c>
    </row>
    <row r="109">
      <c r="A109" t="inlineStr">
        <is>
          <t>XLF</t>
        </is>
      </c>
      <c r="B109" t="inlineStr">
        <is>
          <t>Financials</t>
        </is>
      </c>
      <c r="C109" t="inlineStr">
        <is>
          <t>AXP</t>
        </is>
      </c>
      <c r="D109" t="inlineStr">
        <is>
          <t>American Express Co</t>
        </is>
      </c>
      <c r="E109" t="inlineStr">
        <is>
          <t>2.47</t>
        </is>
      </c>
      <c r="F109" t="inlineStr">
        <is>
          <t>Earnings</t>
        </is>
      </c>
      <c r="G109" t="inlineStr">
        <is>
          <t>Leverage Shares by Themes Expands 2X Single-Stock ETF Lineup with Targeted Exposure to American Expr</t>
        </is>
      </c>
      <c r="H109" s="3" t="inlineStr">
        <is>
          <t>https://finance.yahoo.com/news/leverage-shares-themes-expands-2x-140000207.html?.tsrc=rss</t>
        </is>
      </c>
      <c r="I109" t="inlineStr">
        <is>
          <t>2026-02-19</t>
        </is>
      </c>
      <c r="J109" t="inlineStr">
        <is>
          <t>Leverage Shares by Themes Expands 2X Single-Stock ETF Lineup. 19, 2026 (GLOBE NEWSWIRE) -- Leverage Shares by Themes is pleased to announce the launch</t>
        </is>
      </c>
      <c r="K109" s="5" t="n">
        <v>0.4892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s="2" t="inlineStr">
        <is>
          <t>XLV</t>
        </is>
      </c>
      <c r="B111" s="2">
        <f>== HEALTH CARE ===</f>
        <v/>
      </c>
      <c r="C111" s="2" t="inlineStr">
        <is>
          <t>Simple: 0.3909</t>
        </is>
      </c>
      <c r="D111" s="2" t="inlineStr">
        <is>
          <t>Weighted: 0.3627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</row>
    <row r="112">
      <c r="A112" t="inlineStr">
        <is>
          <t>XLV</t>
        </is>
      </c>
      <c r="B112" t="inlineStr">
        <is>
          <t>Health Care</t>
        </is>
      </c>
      <c r="C112" t="inlineStr">
        <is>
          <t>LLY</t>
        </is>
      </c>
      <c r="D112" t="inlineStr">
        <is>
          <t>Eli Lilly and Co</t>
        </is>
      </c>
      <c r="E112" t="inlineStr">
        <is>
          <t>14.68</t>
        </is>
      </c>
      <c r="F112" t="inlineStr">
        <is>
          <t>Earnings</t>
        </is>
      </c>
      <c r="G112" t="inlineStr">
        <is>
          <t>Is It Too Late To Consider Eli Lilly (LLY) After Its Strong Multi Year Rally?</t>
        </is>
      </c>
      <c r="H112" s="3" t="inlineStr">
        <is>
          <t>https://finance.yahoo.com/news/too-consider-eli-lilly-lly-190838789.html?.tsrc=rss</t>
        </is>
      </c>
      <c r="I112" t="inlineStr">
        <is>
          <t>2026-02-19</t>
        </is>
      </c>
      <c r="J112" t="inlineStr">
        <is>
          <t xml:space="preserve">Is It Too Late To Consider Eli Lilly (LLY) After Its Strong . Make better investment decisions with Simply Wall St's easy, visual tools that give you </t>
        </is>
      </c>
      <c r="K112" s="5" t="n">
        <v>0.3623</v>
      </c>
    </row>
    <row r="113">
      <c r="A113" t="inlineStr">
        <is>
          <t>XLV</t>
        </is>
      </c>
      <c r="B113" t="inlineStr">
        <is>
          <t>Health Care</t>
        </is>
      </c>
      <c r="C113" t="inlineStr">
        <is>
          <t>LLY</t>
        </is>
      </c>
      <c r="D113" t="inlineStr">
        <is>
          <t>Eli Lilly and Co</t>
        </is>
      </c>
      <c r="E113" t="inlineStr">
        <is>
          <t>14.68</t>
        </is>
      </c>
      <c r="F113" t="inlineStr">
        <is>
          <t>Analyst</t>
        </is>
      </c>
      <c r="G113" t="inlineStr">
        <is>
          <t>Eli Lilly's Experimental Cancer Drug Cuts Recurrence Risk In Early-Stage Lung Cancer Patients</t>
        </is>
      </c>
      <c r="H113" s="3" t="inlineStr">
        <is>
          <t>https://finance.yahoo.com/news/eli-lillys-experimental-cancer-drug-183017993.html?.tsrc=rss</t>
        </is>
      </c>
      <c r="I113" t="inlineStr">
        <is>
          <t>2026-02-19</t>
        </is>
      </c>
      <c r="J113" t="inlineStr">
        <is>
          <t>Eli Lilly's Experimental Cancer Drug Cuts Recurrence Risk In. (NYSE:LLY) on Monday shared positive topline results from the Phase 3 LIBRETTO-432 clini</t>
        </is>
      </c>
      <c r="K113" t="n">
        <v>-0.0497</v>
      </c>
    </row>
    <row r="114">
      <c r="A114" t="inlineStr">
        <is>
          <t>XLV</t>
        </is>
      </c>
      <c r="B114" t="inlineStr">
        <is>
          <t>Health Care</t>
        </is>
      </c>
      <c r="C114" t="inlineStr">
        <is>
          <t>LLY</t>
        </is>
      </c>
      <c r="D114" t="inlineStr">
        <is>
          <t>Eli Lilly and Co</t>
        </is>
      </c>
      <c r="E114" t="inlineStr">
        <is>
          <t>14.68</t>
        </is>
      </c>
      <c r="F114" t="inlineStr">
        <is>
          <t>General</t>
        </is>
      </c>
      <c r="G114" t="inlineStr">
        <is>
          <t>Patients with Crohn's disease maintained steroid-free remission for three years with Lilly's Omvoh (</t>
        </is>
      </c>
      <c r="H114" s="3" t="inlineStr">
        <is>
          <t>https://finance.yahoo.com/news/patients-crohns-disease-maintained-steroid-171500571.html?.tsrc=rss</t>
        </is>
      </c>
      <c r="I114" t="inlineStr">
        <is>
          <t>2026-02-19</t>
        </is>
      </c>
      <c r="J114" t="inlineStr">
        <is>
          <t>Patients with Crohn's disease maintained steroid-free remiss. Landmark VIVID-2 data showed more than 90% of patients who achieved steroid-free remissi</t>
        </is>
      </c>
      <c r="K114" s="5" t="n">
        <v>0.4237</v>
      </c>
    </row>
    <row r="115">
      <c r="A115" t="inlineStr">
        <is>
          <t>XLV</t>
        </is>
      </c>
      <c r="B115" t="inlineStr">
        <is>
          <t>Health Care</t>
        </is>
      </c>
      <c r="C115" t="inlineStr">
        <is>
          <t>JNJ</t>
        </is>
      </c>
      <c r="D115" t="inlineStr">
        <is>
          <t>Johnson &amp; Johnson</t>
        </is>
      </c>
      <c r="E115" t="inlineStr">
        <is>
          <t>9.76</t>
        </is>
      </c>
      <c r="F115" t="inlineStr">
        <is>
          <t>Product</t>
        </is>
      </c>
      <c r="G115" t="inlineStr">
        <is>
          <t>Johnson &amp; Johnson explores $20 billion sale of orthopedics unit, Bloomberg News reports</t>
        </is>
      </c>
      <c r="H115" s="3" t="inlineStr">
        <is>
          <t>https://finance.yahoo.com/news/johnson-johnson-explores-20-billion-194130332.html?.tsrc=rss</t>
        </is>
      </c>
      <c r="I115" t="inlineStr">
        <is>
          <t>2026-02-19</t>
        </is>
      </c>
      <c r="J115" t="inlineStr">
        <is>
          <t>Johnson &amp; Johnson explores $20 billion sale of orthopedics u. Feb 19 (Reuters) - Johnson &amp; Johnson is preparing a potential sale of the orthopedics un</t>
        </is>
      </c>
      <c r="K115" t="n">
        <v>0.1808</v>
      </c>
    </row>
    <row r="116">
      <c r="A116" t="inlineStr">
        <is>
          <t>XLV</t>
        </is>
      </c>
      <c r="B116" t="inlineStr">
        <is>
          <t>Health Care</t>
        </is>
      </c>
      <c r="C116" t="inlineStr">
        <is>
          <t>JNJ</t>
        </is>
      </c>
      <c r="D116" t="inlineStr">
        <is>
          <t>Johnson &amp; Johnson</t>
        </is>
      </c>
      <c r="E116" t="inlineStr">
        <is>
          <t>9.76</t>
        </is>
      </c>
      <c r="F116" t="inlineStr">
        <is>
          <t>Product</t>
        </is>
      </c>
      <c r="G116" t="inlineStr">
        <is>
          <t>Johnson &amp; Johnson to invest $1B in Pennsylvania manufacturing facility</t>
        </is>
      </c>
      <c r="H116" s="3" t="inlineStr">
        <is>
          <t>https://www.foxbusiness.com/markets/johnson-johnson-invest-1b-pennsylvania-manufacturing-facility?.tsrc=rss</t>
        </is>
      </c>
      <c r="I116" t="inlineStr">
        <is>
          <t>2026-02-19</t>
        </is>
      </c>
      <c r="J116" t="inlineStr">
        <is>
          <t>Johnson &amp; Johnson to invest $1B in Pennsylvania manufacturin. Johnson &amp; Johnson executive vice president and CFO Joseph Wolk discusses the companys pe</t>
        </is>
      </c>
      <c r="K116" s="5" t="n">
        <v>0.3984</v>
      </c>
    </row>
    <row r="117">
      <c r="A117" t="inlineStr">
        <is>
          <t>XLV</t>
        </is>
      </c>
      <c r="B117" t="inlineStr">
        <is>
          <t>Health Care</t>
        </is>
      </c>
      <c r="C117" t="inlineStr">
        <is>
          <t>ABBV</t>
        </is>
      </c>
      <c r="D117" t="inlineStr">
        <is>
          <t>AbbVie Inc</t>
        </is>
      </c>
      <c r="E117" t="inlineStr">
        <is>
          <t>7.03</t>
        </is>
      </c>
      <c r="F117" t="inlineStr">
        <is>
          <t>Product</t>
        </is>
      </c>
      <c r="G117" t="inlineStr">
        <is>
          <t>AbbVie Declares Quarterly Dividend</t>
        </is>
      </c>
      <c r="H117" s="3" t="inlineStr">
        <is>
          <t>https://finance.yahoo.com/news/abbvie-declares-quarterly-dividend-143700509.html?.tsrc=rss</t>
        </is>
      </c>
      <c r="I117" t="inlineStr">
        <is>
          <t>2026-02-19</t>
        </is>
      </c>
      <c r="J117" t="inlineStr">
        <is>
          <t>AbbVie Declares Quarterly Dividend. 19, 2026 /PRNewswire/ -- The board of directors of AbbVie Inc. (NYSE: ABBV) today declared a quarterly cash divide</t>
        </is>
      </c>
      <c r="K117" s="4" t="n">
        <v>0.5876</v>
      </c>
    </row>
    <row r="118">
      <c r="A118" t="inlineStr">
        <is>
          <t>XLV</t>
        </is>
      </c>
      <c r="B118" t="inlineStr">
        <is>
          <t>Health Care</t>
        </is>
      </c>
      <c r="C118" t="inlineStr">
        <is>
          <t>ABBV</t>
        </is>
      </c>
      <c r="D118" t="inlineStr">
        <is>
          <t>AbbVie Inc</t>
        </is>
      </c>
      <c r="E118" t="inlineStr">
        <is>
          <t>7.03</t>
        </is>
      </c>
      <c r="F118" t="inlineStr">
        <is>
          <t>Earnings</t>
        </is>
      </c>
      <c r="G118" t="inlineStr">
        <is>
          <t>Should AbbVie’s (ABBV) Post-Humira Pipeline Progress Prompt a Fresh Look From Investors?</t>
        </is>
      </c>
      <c r="H118" s="3" t="inlineStr">
        <is>
          <t>https://finance.yahoo.com/news/abbvie-abbv-post-humira-pipeline-121557671.html?.tsrc=rss</t>
        </is>
      </c>
      <c r="I118" t="inlineStr">
        <is>
          <t>2026-02-19</t>
        </is>
      </c>
      <c r="J118" t="inlineStr">
        <is>
          <t>Should AbbVie’s (ABBV) Post-Humira Pipeline Progress Prompt . AbbVie recently reported record 2025 results and outlined a stronger 2026 outlook, while</t>
        </is>
      </c>
      <c r="K118" s="4" t="n">
        <v>0.7248</v>
      </c>
    </row>
    <row r="119">
      <c r="A119" t="inlineStr">
        <is>
          <t>XLV</t>
        </is>
      </c>
      <c r="B119" t="inlineStr">
        <is>
          <t>Health Care</t>
        </is>
      </c>
      <c r="C119" t="inlineStr">
        <is>
          <t>MRK</t>
        </is>
      </c>
      <c r="D119" t="inlineStr">
        <is>
          <t>Merck &amp; Co Inc</t>
        </is>
      </c>
      <c r="E119" t="inlineStr">
        <is>
          <t>4.88</t>
        </is>
      </c>
      <c r="F119" t="inlineStr">
        <is>
          <t>Earnings</t>
        </is>
      </c>
      <c r="G119" t="inlineStr">
        <is>
          <t>Where is Merck &amp; Co., Inc. (MRK) Headed According to the Street?</t>
        </is>
      </c>
      <c r="H119" s="3" t="inlineStr">
        <is>
          <t>https://finance.yahoo.com/news/where-merck-co-inc-mrk-145243554.html?.tsrc=rss</t>
        </is>
      </c>
      <c r="I119" t="inlineStr">
        <is>
          <t>2026-02-19</t>
        </is>
      </c>
      <c r="J119" t="inlineStr">
        <is>
          <t>Where is Merck &amp; Co., Inc. (MRK) Headed According to the Str. (NYSE:MRK) is one of the best immunotherapy stocks to buy according to hedge funds. On F</t>
        </is>
      </c>
      <c r="K119" s="4" t="n">
        <v>0.6718</v>
      </c>
    </row>
    <row r="120">
      <c r="A120" t="inlineStr">
        <is>
          <t>XLV</t>
        </is>
      </c>
      <c r="B120" t="inlineStr">
        <is>
          <t>Health Care</t>
        </is>
      </c>
      <c r="C120" t="inlineStr">
        <is>
          <t>MRK</t>
        </is>
      </c>
      <c r="D120" t="inlineStr">
        <is>
          <t>Merck &amp; Co Inc</t>
        </is>
      </c>
      <c r="E120" t="inlineStr">
        <is>
          <t>4.88</t>
        </is>
      </c>
      <c r="F120" t="inlineStr">
        <is>
          <t>General</t>
        </is>
      </c>
      <c r="G120" t="inlineStr">
        <is>
          <t>3D Protein Structure Analysis Market Report 2026 Featuring Profiles of Merck, Bruker Corp., Thermo F</t>
        </is>
      </c>
      <c r="H120" s="3" t="inlineStr">
        <is>
          <t>https://finance.yahoo.com/news/3d-protein-structure-analysis-market-122400549.html?.tsrc=rss</t>
        </is>
      </c>
      <c r="I120" t="inlineStr">
        <is>
          <t>2026-02-19</t>
        </is>
      </c>
      <c r="J120" t="inlineStr">
        <is>
          <t>3D Protein Structure Analysis Market Report 2026 Featuring P. The global 3D protein structure analysis market is rapidly expanding due to growing dema</t>
        </is>
      </c>
      <c r="K120" s="4" t="n">
        <v>0.6754</v>
      </c>
    </row>
    <row r="121">
      <c r="A121" t="inlineStr">
        <is>
          <t>XLV</t>
        </is>
      </c>
      <c r="B121" t="inlineStr">
        <is>
          <t>Health Care</t>
        </is>
      </c>
      <c r="C121" t="inlineStr">
        <is>
          <t>MRK</t>
        </is>
      </c>
      <c r="D121" t="inlineStr">
        <is>
          <t>Merck &amp; Co Inc</t>
        </is>
      </c>
      <c r="E121" t="inlineStr">
        <is>
          <t>4.88</t>
        </is>
      </c>
      <c r="F121" t="inlineStr">
        <is>
          <t>Product</t>
        </is>
      </c>
      <c r="G121" t="inlineStr">
        <is>
          <t>$19.8 Billion Cell and Gene Therapy Tools &amp; Reagents Market Outlook, 2030 Featuring Thermo Fisher Sc</t>
        </is>
      </c>
      <c r="H121" s="3" t="inlineStr">
        <is>
          <t>https://finance.yahoo.com/news/19-8-billion-cell-gene-122200041.html?.tsrc=rss</t>
        </is>
      </c>
      <c r="I121" t="inlineStr">
        <is>
          <t>2026-02-19</t>
        </is>
      </c>
      <c r="J121" t="inlineStr">
        <is>
          <t>$19.8 Billion Cell and Gene Therapy Tools &amp; Reagents Market . Emerging technologies, increasing focus on R&amp;D, and a growing demand in treating previou</t>
        </is>
      </c>
      <c r="K121" s="4" t="n">
        <v>0.626</v>
      </c>
    </row>
    <row r="122">
      <c r="A122" t="inlineStr">
        <is>
          <t>XLV</t>
        </is>
      </c>
      <c r="B122" t="inlineStr">
        <is>
          <t>Health Care</t>
        </is>
      </c>
      <c r="C122" t="inlineStr">
        <is>
          <t>MRK</t>
        </is>
      </c>
      <c r="D122" t="inlineStr">
        <is>
          <t>Merck &amp; Co Inc</t>
        </is>
      </c>
      <c r="E122" t="inlineStr">
        <is>
          <t>4.88</t>
        </is>
      </c>
      <c r="F122" t="inlineStr">
        <is>
          <t>General</t>
        </is>
      </c>
      <c r="G122" t="inlineStr">
        <is>
          <t>Merck Announces Positive New Data for ENFLONSIA™ (clesrovimab) for Infants and Children Under 2 Year</t>
        </is>
      </c>
      <c r="H122" s="3" t="inlineStr">
        <is>
          <t>https://finance.yahoo.com/news/merck-announces-positive-data-enflonsia-101500519.html?.tsrc=rss</t>
        </is>
      </c>
      <c r="I122" t="inlineStr">
        <is>
          <t>2026-02-19</t>
        </is>
      </c>
      <c r="J122" t="inlineStr">
        <is>
          <t>Merck Announces Positive New Data for ENFLONSIA™ (clesrovima. Second season results from the Phase 3 SMART trial were presented at the 9th RSVVW Confe</t>
        </is>
      </c>
      <c r="K122" s="5" t="n">
        <v>0.4382</v>
      </c>
    </row>
    <row r="123">
      <c r="A123" t="inlineStr">
        <is>
          <t>XLV</t>
        </is>
      </c>
      <c r="B123" t="inlineStr">
        <is>
          <t>Health Care</t>
        </is>
      </c>
      <c r="C123" t="inlineStr">
        <is>
          <t>UNH</t>
        </is>
      </c>
      <c r="D123" t="inlineStr">
        <is>
          <t>UnitedHealth Group Inc</t>
        </is>
      </c>
      <c r="E123" t="inlineStr">
        <is>
          <t>4.63</t>
        </is>
      </c>
      <c r="F123" t="inlineStr">
        <is>
          <t>General</t>
        </is>
      </c>
      <c r="G123" t="inlineStr">
        <is>
          <t>World’s Largest Hedge Fund Buys Dell and UnitedHealth Stock, Sells AT&amp;T</t>
        </is>
      </c>
      <c r="H123" s="3" t="inlineStr">
        <is>
          <t>https://finance.yahoo.com/m/717657b3-b3c0-397b-a0ba-b3c4eca88df4/world%E2%80%99s-largest-hedge-fund.html?.tsrc=rss</t>
        </is>
      </c>
      <c r="I123" t="inlineStr">
        <is>
          <t>2026-02-19</t>
        </is>
      </c>
      <c r="J123" t="inlineStr">
        <is>
          <t xml:space="preserve">World’s Largest Hedge Fund Buys Dell and UnitedHealth Stock,. Bridgewater Associates, the asset management firm founded by Ray Dalio, also reshuffled </t>
        </is>
      </c>
      <c r="K123" s="5" t="n">
        <v>0.2411</v>
      </c>
    </row>
    <row r="124">
      <c r="A124" t="inlineStr">
        <is>
          <t>XLV</t>
        </is>
      </c>
      <c r="B124" t="inlineStr">
        <is>
          <t>Health Care</t>
        </is>
      </c>
      <c r="C124" t="inlineStr">
        <is>
          <t>UNH</t>
        </is>
      </c>
      <c r="D124" t="inlineStr">
        <is>
          <t>UnitedHealth Group Inc</t>
        </is>
      </c>
      <c r="E124" t="inlineStr">
        <is>
          <t>4.63</t>
        </is>
      </c>
      <c r="F124" t="inlineStr">
        <is>
          <t>Earnings</t>
        </is>
      </c>
      <c r="G124" t="inlineStr">
        <is>
          <t>UnitedHealth Group Incorporated (UNH) Is a Trending Stock: Facts to Know Before Betting on It</t>
        </is>
      </c>
      <c r="H124" s="3" t="inlineStr">
        <is>
          <t>https://finance.yahoo.com/news/unitedhealth-group-incorporated-unh-trending-140003021.html?.tsrc=rss</t>
        </is>
      </c>
      <c r="I124" t="inlineStr">
        <is>
          <t>2026-02-19</t>
        </is>
      </c>
      <c r="J124" t="inlineStr">
        <is>
          <t>UnitedHealth Group Incorporated (UNH) Is a Trending Stock: F. UnitedHealth Group (UNH) has recently been on Zacks. com's list of the most searched sto</t>
        </is>
      </c>
      <c r="K124" t="n">
        <v>0.0303</v>
      </c>
    </row>
    <row r="125">
      <c r="A125" t="inlineStr">
        <is>
          <t>XLV</t>
        </is>
      </c>
      <c r="B125" t="inlineStr">
        <is>
          <t>Health Care</t>
        </is>
      </c>
      <c r="C125" t="inlineStr">
        <is>
          <t>AMGN</t>
        </is>
      </c>
      <c r="D125" t="inlineStr">
        <is>
          <t>Amgen Inc</t>
        </is>
      </c>
      <c r="E125" t="inlineStr">
        <is>
          <t>3.28</t>
        </is>
      </c>
      <c r="F125" t="inlineStr">
        <is>
          <t>Earnings</t>
        </is>
      </c>
      <c r="G125" t="inlineStr">
        <is>
          <t>Here’s What the Street is Saying About Amgen Inc. (AMGN)</t>
        </is>
      </c>
      <c r="H125" s="3" t="inlineStr">
        <is>
          <t>https://finance.yahoo.com/news/street-saying-amgen-inc-amgn-145420750.html?.tsrc=rss</t>
        </is>
      </c>
      <c r="I125" t="inlineStr">
        <is>
          <t>2026-02-19</t>
        </is>
      </c>
      <c r="J125" t="inlineStr">
        <is>
          <t>Here’s What the Street is Saying About Amgen Inc. (AMGN). (NASDAQ:AMGN) is one of the best immunotherapy stocks to buy according to hedge funds. On Fe</t>
        </is>
      </c>
      <c r="K125" s="4" t="n">
        <v>0.5558999999999999</v>
      </c>
    </row>
    <row r="126">
      <c r="A126" t="inlineStr">
        <is>
          <t>XLV</t>
        </is>
      </c>
      <c r="B126" t="inlineStr">
        <is>
          <t>Health Care</t>
        </is>
      </c>
      <c r="C126" t="inlineStr">
        <is>
          <t>AMGN</t>
        </is>
      </c>
      <c r="D126" t="inlineStr">
        <is>
          <t>Amgen Inc</t>
        </is>
      </c>
      <c r="E126" t="inlineStr">
        <is>
          <t>3.28</t>
        </is>
      </c>
      <c r="F126" t="inlineStr">
        <is>
          <t>General</t>
        </is>
      </c>
      <c r="G126" t="inlineStr">
        <is>
          <t>Possible Bearish Signals With Amgen Insiders Disposing Stock</t>
        </is>
      </c>
      <c r="H126" s="3" t="inlineStr">
        <is>
          <t>https://finance.yahoo.com/news/possible-bearish-signals-amgen-insiders-130007972.html?.tsrc=rss</t>
        </is>
      </c>
      <c r="I126" t="inlineStr">
        <is>
          <t>2026-02-19</t>
        </is>
      </c>
      <c r="J126" t="inlineStr">
        <is>
          <t>Possible Bearish Signals With Amgen Insiders Disposing Stock. In the last year, many Amgen Inc. (NASDAQ:AMGN) insiders sold a substantial stake in the</t>
        </is>
      </c>
      <c r="K126" t="n">
        <v>0.1307</v>
      </c>
    </row>
    <row r="127">
      <c r="A127" t="inlineStr">
        <is>
          <t>XLV</t>
        </is>
      </c>
      <c r="B127" t="inlineStr">
        <is>
          <t>Health Care</t>
        </is>
      </c>
      <c r="C127" t="inlineStr">
        <is>
          <t>ISRG</t>
        </is>
      </c>
      <c r="D127" t="inlineStr">
        <is>
          <t>Intuitive Surgical Inc</t>
        </is>
      </c>
      <c r="E127" t="inlineStr">
        <is>
          <t>3.19</t>
        </is>
      </c>
      <c r="F127" t="inlineStr">
        <is>
          <t>Earnings</t>
        </is>
      </c>
      <c r="G127" t="inlineStr">
        <is>
          <t>Is It Worth Investing in Intuitive Surgical (ISRG) Based on Wall Street's Bullish Views?</t>
        </is>
      </c>
      <c r="H127" s="3" t="inlineStr">
        <is>
          <t>https://finance.yahoo.com/news/worth-investing-intuitive-surgical-isrg-143003598.html?.tsrc=rss</t>
        </is>
      </c>
      <c r="I127" t="inlineStr">
        <is>
          <t>2026-02-19</t>
        </is>
      </c>
      <c r="J127" t="inlineStr">
        <is>
          <t>Is It Worth Investing in Intuitive Surgical (ISRG) Based on . When deciding whether to buy, sell, or hold a stock, investors often rely on analyst rec</t>
        </is>
      </c>
      <c r="K127" s="5" t="n">
        <v>0.3265</v>
      </c>
    </row>
    <row r="128">
      <c r="A128" t="inlineStr">
        <is>
          <t>XLV</t>
        </is>
      </c>
      <c r="B128" t="inlineStr">
        <is>
          <t>Health Care</t>
        </is>
      </c>
      <c r="C128" t="inlineStr">
        <is>
          <t>ISRG</t>
        </is>
      </c>
      <c r="D128" t="inlineStr">
        <is>
          <t>Intuitive Surgical Inc</t>
        </is>
      </c>
      <c r="E128" t="inlineStr">
        <is>
          <t>3.19</t>
        </is>
      </c>
      <c r="F128" t="inlineStr">
        <is>
          <t>Earnings</t>
        </is>
      </c>
      <c r="G128" t="inlineStr">
        <is>
          <t>Intuitive Surgical’s AI And Da Vinci 5 Put Valuation In Focus</t>
        </is>
      </c>
      <c r="H128" s="3" t="inlineStr">
        <is>
          <t>https://finance.yahoo.com/news/intuitive-surgical-ai-da-vinci-140952494.html?.tsrc=rss</t>
        </is>
      </c>
      <c r="I128" t="inlineStr">
        <is>
          <t>2026-02-19</t>
        </is>
      </c>
      <c r="J128" t="inlineStr">
        <is>
          <t>Intuitive Surgical’s AI And Da Vinci 5 Put Valuation In Focu. Never miss an important update on your stock portfolio and cut through the noise. Over 7</t>
        </is>
      </c>
      <c r="K128" t="n">
        <v>0.0713</v>
      </c>
    </row>
    <row r="129">
      <c r="A129" t="inlineStr">
        <is>
          <t>XLV</t>
        </is>
      </c>
      <c r="B129" t="inlineStr">
        <is>
          <t>Health Care</t>
        </is>
      </c>
      <c r="C129" t="inlineStr">
        <is>
          <t>ISRG</t>
        </is>
      </c>
      <c r="D129" t="inlineStr">
        <is>
          <t>Intuitive Surgical Inc</t>
        </is>
      </c>
      <c r="E129" t="inlineStr">
        <is>
          <t>3.19</t>
        </is>
      </c>
      <c r="F129" t="inlineStr">
        <is>
          <t>Earnings</t>
        </is>
      </c>
      <c r="G129" t="inlineStr">
        <is>
          <t>Could Intuitive Surgical Be the One Medtech Stock to Hold Through Any Market Crash?</t>
        </is>
      </c>
      <c r="H129" s="3" t="inlineStr">
        <is>
          <t>https://www.fool.com/investing/2026/02/19/could-intuitive-surgical-be-the-one-medtech-stock/?.tsrc=rss</t>
        </is>
      </c>
      <c r="I129" t="inlineStr">
        <is>
          <t>2026-02-19</t>
        </is>
      </c>
      <c r="J129" t="inlineStr">
        <is>
          <t>Could Intuitive Surgical Be the One Medtech Stock to Hold Th. This stock has climbed in the triple digits in recent years. The S&amp;P 500 has surged over</t>
        </is>
      </c>
      <c r="K129" s="5" t="n">
        <v>0.335</v>
      </c>
    </row>
    <row r="130">
      <c r="A130" t="inlineStr">
        <is>
          <t>XLV</t>
        </is>
      </c>
      <c r="B130" t="inlineStr">
        <is>
          <t>Health Care</t>
        </is>
      </c>
      <c r="C130" t="inlineStr">
        <is>
          <t>GILD</t>
        </is>
      </c>
      <c r="D130" t="inlineStr">
        <is>
          <t>Gilead Sciences Inc</t>
        </is>
      </c>
      <c r="E130" t="inlineStr">
        <is>
          <t>3.14</t>
        </is>
      </c>
      <c r="F130" t="inlineStr">
        <is>
          <t>Earnings</t>
        </is>
      </c>
      <c r="G130" t="inlineStr">
        <is>
          <t>What Do Analysts Have to Say About Gilead Sciences (GILD) Post Earnings?</t>
        </is>
      </c>
      <c r="H130" s="3" t="inlineStr">
        <is>
          <t>https://finance.yahoo.com/news/analysts-gilead-sciences-gild-post-145451246.html?.tsrc=rss</t>
        </is>
      </c>
      <c r="I130" t="inlineStr">
        <is>
          <t>2026-02-19</t>
        </is>
      </c>
      <c r="J130" t="inlineStr">
        <is>
          <t>What Do Analysts Have to Say About Gilead Sciences (GILD) Po. (NASDAQ:GILD) is one of the best immunotherapy stocks to buy according to hedge funds. (</t>
        </is>
      </c>
      <c r="K130" s="4" t="n">
        <v>0.8231000000000001</v>
      </c>
    </row>
    <row r="131">
      <c r="A131" t="inlineStr">
        <is>
          <t>XLV</t>
        </is>
      </c>
      <c r="B131" t="inlineStr">
        <is>
          <t>Health Care</t>
        </is>
      </c>
      <c r="C131" t="inlineStr">
        <is>
          <t>GILD</t>
        </is>
      </c>
      <c r="D131" t="inlineStr">
        <is>
          <t>Gilead Sciences Inc</t>
        </is>
      </c>
      <c r="E131" t="inlineStr">
        <is>
          <t>3.14</t>
        </is>
      </c>
      <c r="F131" t="inlineStr">
        <is>
          <t>Earnings</t>
        </is>
      </c>
      <c r="G131" t="inlineStr">
        <is>
          <t>Is Most-Watched Stock Gilead Sciences, Inc. (GILD) Worth Betting on Now?</t>
        </is>
      </c>
      <c r="H131" s="3" t="inlineStr">
        <is>
          <t>https://finance.yahoo.com/news/most-watched-stock-gilead-sciences-140005268.html?.tsrc=rss</t>
        </is>
      </c>
      <c r="I131" t="inlineStr">
        <is>
          <t>2026-02-19</t>
        </is>
      </c>
      <c r="J131" t="inlineStr">
        <is>
          <t>Is Most-Watched Stock Gilead Sciences, Inc. (GILD) Worth Bet. Gilead Sciences (GILD) has been one of the most searched-for stocks on Zacks. So, you mi</t>
        </is>
      </c>
      <c r="K131" s="5" t="n">
        <v>0.2648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s="2" t="inlineStr">
        <is>
          <t>XLI</t>
        </is>
      </c>
      <c r="B133" s="2">
        <f>== INDUSTRIALS ===</f>
        <v/>
      </c>
      <c r="C133" s="2" t="inlineStr">
        <is>
          <t>Simple: 0.2865</t>
        </is>
      </c>
      <c r="D133" s="2" t="inlineStr">
        <is>
          <t>Weighted: 0.3224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</row>
    <row r="134">
      <c r="A134" t="inlineStr">
        <is>
          <t>XLI</t>
        </is>
      </c>
      <c r="B134" t="inlineStr">
        <is>
          <t>Industrials</t>
        </is>
      </c>
      <c r="C134" t="inlineStr">
        <is>
          <t>GE</t>
        </is>
      </c>
      <c r="D134" t="inlineStr">
        <is>
          <t>GE Aerospace</t>
        </is>
      </c>
      <c r="E134" t="inlineStr">
        <is>
          <t>6.36</t>
        </is>
      </c>
      <c r="F134" t="inlineStr">
        <is>
          <t>General</t>
        </is>
      </c>
      <c r="G134" t="inlineStr">
        <is>
          <t>GE Aerospace Stock Wins Big as Engine Battle Roars on</t>
        </is>
      </c>
      <c r="H134" s="3" t="inlineStr">
        <is>
          <t>https://finance.yahoo.com/m/71541a48-902a-3394-94c0-81c710af5e55/ge-aerospace-stock-wins-big.html?.tsrc=rss</t>
        </is>
      </c>
      <c r="I134" t="inlineStr">
        <is>
          <t>2026-02-19</t>
        </is>
      </c>
      <c r="J134" t="inlineStr">
        <is>
          <t>GE Aerospace Stock Wins Big as Engine Battle Roars on. Airbus surprising 2026 financial guidance goes beyond its battle with Boeing It reaches down th</t>
        </is>
      </c>
      <c r="K134" s="5" t="n">
        <v>0.4705</v>
      </c>
    </row>
    <row r="135">
      <c r="A135" t="inlineStr">
        <is>
          <t>XLI</t>
        </is>
      </c>
      <c r="B135" t="inlineStr">
        <is>
          <t>Industrials</t>
        </is>
      </c>
      <c r="C135" t="inlineStr">
        <is>
          <t>GE</t>
        </is>
      </c>
      <c r="D135" t="inlineStr">
        <is>
          <t>GE Aerospace</t>
        </is>
      </c>
      <c r="E135" t="inlineStr">
        <is>
          <t>6.36</t>
        </is>
      </c>
      <c r="F135" t="inlineStr">
        <is>
          <t>General</t>
        </is>
      </c>
      <c r="G135" t="inlineStr">
        <is>
          <t>GE Aerospace Readies Takeoff With Its 'AI Wingmate' In Tow</t>
        </is>
      </c>
      <c r="H135" s="3" t="inlineStr">
        <is>
          <t>https://finance.yahoo.com/m/528e0730-a182-3e6f-8689-275d49b94c73/ge-aerospace-readies-takeoff.html?.tsrc=rss</t>
        </is>
      </c>
      <c r="I135" t="inlineStr">
        <is>
          <t>2026-02-19</t>
        </is>
      </c>
      <c r="J135" t="inlineStr">
        <is>
          <t>GE Aerospace Readies Takeoff With Its 'AI Wingmate' In Tow. As GE Aerospace taps AI to enhance inspections and predictive maintenance, GE stock just f</t>
        </is>
      </c>
      <c r="K135" s="5" t="n">
        <v>0.3384</v>
      </c>
    </row>
    <row r="136">
      <c r="A136" t="inlineStr">
        <is>
          <t>XLI</t>
        </is>
      </c>
      <c r="B136" t="inlineStr">
        <is>
          <t>Industrials</t>
        </is>
      </c>
      <c r="C136" t="inlineStr">
        <is>
          <t>GE</t>
        </is>
      </c>
      <c r="D136" t="inlineStr">
        <is>
          <t>GE Aerospace</t>
        </is>
      </c>
      <c r="E136" t="inlineStr">
        <is>
          <t>6.36</t>
        </is>
      </c>
      <c r="F136" t="inlineStr">
        <is>
          <t>Earnings</t>
        </is>
      </c>
      <c r="G136" t="inlineStr">
        <is>
          <t>Why General Electric (GE) Is Up 5.1% After United’s Record GEnx Engine Order And Dividend Update</t>
        </is>
      </c>
      <c r="H136" s="3" t="inlineStr">
        <is>
          <t>https://finance.yahoo.com/news/why-general-electric-ge-5-191157453.html?.tsrc=rss</t>
        </is>
      </c>
      <c r="I136" t="inlineStr">
        <is>
          <t>2026-02-19</t>
        </is>
      </c>
      <c r="J136" t="inlineStr">
        <is>
          <t>Why General Electric (GE) Is Up 5.1% After United’s Record G. In February 2026, GE Aerospace announced that United Airlines selected 300 GEnx engines,</t>
        </is>
      </c>
      <c r="K136" s="4" t="n">
        <v>0.7022</v>
      </c>
    </row>
    <row r="137">
      <c r="A137" t="inlineStr">
        <is>
          <t>XLI</t>
        </is>
      </c>
      <c r="B137" t="inlineStr">
        <is>
          <t>Industrials</t>
        </is>
      </c>
      <c r="C137" t="inlineStr">
        <is>
          <t>GE</t>
        </is>
      </c>
      <c r="D137" t="inlineStr">
        <is>
          <t>GE Aerospace</t>
        </is>
      </c>
      <c r="E137" t="inlineStr">
        <is>
          <t>6.36</t>
        </is>
      </c>
      <c r="F137" t="inlineStr">
        <is>
          <t>Earnings</t>
        </is>
      </c>
      <c r="G137" t="inlineStr">
        <is>
          <t>Investors Heavily Search GE Aerospace (GE): Here is What You Need to Know</t>
        </is>
      </c>
      <c r="H137" s="3" t="inlineStr">
        <is>
          <t>https://finance.yahoo.com/news/investors-heavily-search-ge-aerospace-140006579.html?.tsrc=rss</t>
        </is>
      </c>
      <c r="I137" t="inlineStr">
        <is>
          <t>2026-02-19</t>
        </is>
      </c>
      <c r="J137" t="inlineStr">
        <is>
          <t>Investors Heavily Search GE Aerospace (GE): Here is What You. GE Aerospace (GE) has been one of the most searched-for stocks on Zacks. So, you might w</t>
        </is>
      </c>
      <c r="K137" s="5" t="n">
        <v>0.224</v>
      </c>
    </row>
    <row r="138">
      <c r="A138" t="inlineStr">
        <is>
          <t>XLI</t>
        </is>
      </c>
      <c r="B138" t="inlineStr">
        <is>
          <t>Industrials</t>
        </is>
      </c>
      <c r="C138" t="inlineStr">
        <is>
          <t>GE</t>
        </is>
      </c>
      <c r="D138" t="inlineStr">
        <is>
          <t>GE Aerospace</t>
        </is>
      </c>
      <c r="E138" t="inlineStr">
        <is>
          <t>6.36</t>
        </is>
      </c>
      <c r="F138" t="inlineStr">
        <is>
          <t>Earnings</t>
        </is>
      </c>
      <c r="G138" t="inlineStr">
        <is>
          <t>GE Vernova Inc. (GEV) is Attracting Investor Attention: Here is What You Should Know</t>
        </is>
      </c>
      <c r="H138" s="3" t="inlineStr">
        <is>
          <t>https://finance.yahoo.com/news/ge-vernova-inc-gev-attracting-140005122.html?.tsrc=rss</t>
        </is>
      </c>
      <c r="I138" t="inlineStr">
        <is>
          <t>2026-02-19</t>
        </is>
      </c>
      <c r="J138" t="inlineStr">
        <is>
          <t>GE Vernova Inc. (GEV) is Attracting Investor Attention: Here. GE Vernova (GEV) has been one of the most searched-for stocks on Zacks. So, you might wa</t>
        </is>
      </c>
      <c r="K138" s="5" t="n">
        <v>0.3378</v>
      </c>
    </row>
    <row r="139">
      <c r="A139" t="inlineStr">
        <is>
          <t>XLI</t>
        </is>
      </c>
      <c r="B139" t="inlineStr">
        <is>
          <t>Industrials</t>
        </is>
      </c>
      <c r="C139" t="inlineStr">
        <is>
          <t>GE</t>
        </is>
      </c>
      <c r="D139" t="inlineStr">
        <is>
          <t>GE Aerospace</t>
        </is>
      </c>
      <c r="E139" t="inlineStr">
        <is>
          <t>6.36</t>
        </is>
      </c>
      <c r="F139" t="inlineStr">
        <is>
          <t>Product</t>
        </is>
      </c>
      <c r="G139" t="inlineStr">
        <is>
          <t>This Fortune 500 CEO says ‘lean manufacturing’—the management philosophy Toyota made famous—is a pre</t>
        </is>
      </c>
      <c r="H139" s="3" t="inlineStr">
        <is>
          <t>https://finance.yahoo.com/news/fortune-500-ceo-says-lean-103158808.html?.tsrc=rss</t>
        </is>
      </c>
      <c r="I139" t="inlineStr">
        <is>
          <t>2026-02-19</t>
        </is>
      </c>
      <c r="J139" t="inlineStr">
        <is>
          <t>This Fortune 500 CEO says ‘lean manufacturing’—the managemen. In today’s CEO Daily: Diane Brady speaks with a CEO about his devotion to lean manufactu</t>
        </is>
      </c>
      <c r="K139" s="5" t="n">
        <v>0.3373</v>
      </c>
    </row>
    <row r="140">
      <c r="A140" t="inlineStr">
        <is>
          <t>XLI</t>
        </is>
      </c>
      <c r="B140" t="inlineStr">
        <is>
          <t>Industrials</t>
        </is>
      </c>
      <c r="C140" t="inlineStr">
        <is>
          <t>CAT</t>
        </is>
      </c>
      <c r="D140" t="inlineStr">
        <is>
          <t>Caterpillar Inc</t>
        </is>
      </c>
      <c r="E140" t="inlineStr">
        <is>
          <t>6.05</t>
        </is>
      </c>
      <c r="F140" t="inlineStr">
        <is>
          <t>Earnings</t>
        </is>
      </c>
      <c r="G140" t="inlineStr">
        <is>
          <t>Caterpillar CEO Joe Creed and Group President Rod Shurman to Participate in Fireside Chat at CONEXPO</t>
        </is>
      </c>
      <c r="H140" s="3" t="inlineStr">
        <is>
          <t>https://finance.yahoo.com/news/caterpillar-ceo-joe-creed-group-140500527.html?.tsrc=rss</t>
        </is>
      </c>
      <c r="I140" t="inlineStr">
        <is>
          <t>2026-02-19</t>
        </is>
      </c>
      <c r="J140" t="inlineStr">
        <is>
          <t xml:space="preserve">Caterpillar CEO Joe Creed and Group President Rod Shurman to. 19, 2026 /PRNewswire/ -- Caterpillar Inc. (NYSE: CAT) Chief Executive Officer Joe Creed </t>
        </is>
      </c>
      <c r="K140" t="n">
        <v>0.1606</v>
      </c>
    </row>
    <row r="141">
      <c r="A141" t="inlineStr">
        <is>
          <t>XLI</t>
        </is>
      </c>
      <c r="B141" t="inlineStr">
        <is>
          <t>Industrials</t>
        </is>
      </c>
      <c r="C141" t="inlineStr">
        <is>
          <t>CAT</t>
        </is>
      </c>
      <c r="D141" t="inlineStr">
        <is>
          <t>Caterpillar Inc</t>
        </is>
      </c>
      <c r="E141" t="inlineStr">
        <is>
          <t>6.05</t>
        </is>
      </c>
      <c r="F141" t="inlineStr">
        <is>
          <t>Earnings</t>
        </is>
      </c>
      <c r="G141" t="inlineStr">
        <is>
          <t>Caterpillar, Honeywell, and Chevron Lead the Dow Jones in 2026</t>
        </is>
      </c>
      <c r="H141" s="3" t="inlineStr">
        <is>
          <t>https://247wallst.com/investing/2026/02/19/caterpillar-honeywell-and-chevron-lead-the-dow-jones-in-2026/?.tsrc=rss</t>
        </is>
      </c>
      <c r="I141" t="inlineStr">
        <is>
          <t>2026-02-19</t>
        </is>
      </c>
      <c r="J141" t="inlineStr">
        <is>
          <t>Caterpillar, Honeywell, and Chevron Lead the Dow Jones in 20. The Dow Jones Industrial Average (NYSEARCA:DIA) has climbed 3. 4% year-to-date through W</t>
        </is>
      </c>
      <c r="K141" s="4" t="n">
        <v>0.7503</v>
      </c>
    </row>
    <row r="142">
      <c r="A142" t="inlineStr">
        <is>
          <t>XLI</t>
        </is>
      </c>
      <c r="B142" t="inlineStr">
        <is>
          <t>Industrials</t>
        </is>
      </c>
      <c r="C142" t="inlineStr">
        <is>
          <t>RTX</t>
        </is>
      </c>
      <c r="D142" t="inlineStr">
        <is>
          <t>RTX Corp</t>
        </is>
      </c>
      <c r="E142" t="inlineStr">
        <is>
          <t>5.29</t>
        </is>
      </c>
      <c r="F142" t="inlineStr">
        <is>
          <t>Analyst</t>
        </is>
      </c>
      <c r="G142" t="inlineStr">
        <is>
          <t>RTX Contract Win And Patriot Concerns Shape Valuation And Risk Profile</t>
        </is>
      </c>
      <c r="H142" s="3" t="inlineStr">
        <is>
          <t>https://finance.yahoo.com/news/rtx-contract-win-patriot-concerns-220907003.html?.tsrc=rss</t>
        </is>
      </c>
      <c r="I142" t="inlineStr">
        <is>
          <t>2026-02-19</t>
        </is>
      </c>
      <c r="J142" t="inlineStr">
        <is>
          <t>RTX Contract Win And Patriot Concerns Shape Valuation And Ri. Never miss an important update on your stock portfolio and cut through the noise. Over 7</t>
        </is>
      </c>
      <c r="K142" s="5" t="n">
        <v>0.4634</v>
      </c>
    </row>
    <row r="143">
      <c r="A143" t="inlineStr">
        <is>
          <t>XLI</t>
        </is>
      </c>
      <c r="B143" t="inlineStr">
        <is>
          <t>Industrials</t>
        </is>
      </c>
      <c r="C143" t="inlineStr">
        <is>
          <t>RTX</t>
        </is>
      </c>
      <c r="D143" t="inlineStr">
        <is>
          <t>RTX Corp</t>
        </is>
      </c>
      <c r="E143" t="inlineStr">
        <is>
          <t>5.29</t>
        </is>
      </c>
      <c r="F143" t="inlineStr">
        <is>
          <t>Earnings</t>
        </is>
      </c>
      <c r="G143" t="inlineStr">
        <is>
          <t>RTX Corporation (RTX) is Attracting Investor Attention: Here is What You Should Know</t>
        </is>
      </c>
      <c r="H143" s="3" t="inlineStr">
        <is>
          <t>https://finance.yahoo.com/news/rtx-corporation-rtx-attracting-investor-140002039.html?.tsrc=rss</t>
        </is>
      </c>
      <c r="I143" t="inlineStr">
        <is>
          <t>2026-02-19</t>
        </is>
      </c>
      <c r="J143" t="inlineStr">
        <is>
          <t>RTX Corporation (RTX) is Attracting Investor Attention: Here. RTX (RTX) is one of the stocks most watched by Zacks. So, it might be a good idea to rev</t>
        </is>
      </c>
      <c r="K143" s="5" t="n">
        <v>0.2612</v>
      </c>
    </row>
    <row r="144">
      <c r="A144" t="inlineStr">
        <is>
          <t>XLI</t>
        </is>
      </c>
      <c r="B144" t="inlineStr">
        <is>
          <t>Industrials</t>
        </is>
      </c>
      <c r="C144" t="inlineStr">
        <is>
          <t>GEV</t>
        </is>
      </c>
      <c r="D144" t="inlineStr">
        <is>
          <t>GE Vernova Inc</t>
        </is>
      </c>
      <c r="E144" t="inlineStr">
        <is>
          <t>3.87</t>
        </is>
      </c>
      <c r="F144" t="inlineStr">
        <is>
          <t>Earnings</t>
        </is>
      </c>
      <c r="G144" t="inlineStr">
        <is>
          <t>GE Vernova Gas And Wind Deals Test Valuation And Earnings Expectations</t>
        </is>
      </c>
      <c r="H144" s="3" t="inlineStr">
        <is>
          <t>https://finance.yahoo.com/news/ge-vernova-gas-wind-deals-190956820.html?.tsrc=rss</t>
        </is>
      </c>
      <c r="I144" t="inlineStr">
        <is>
          <t>2026-02-19</t>
        </is>
      </c>
      <c r="J144" t="inlineStr">
        <is>
          <t>GE Vernova Gas And Wind Deals Test Valuation And Earnings Ex. Never miss an important update on your stock portfolio and cut through the noise. Over 7</t>
        </is>
      </c>
      <c r="K144" s="4" t="n">
        <v>0.5471</v>
      </c>
    </row>
    <row r="145">
      <c r="A145" t="inlineStr">
        <is>
          <t>XLI</t>
        </is>
      </c>
      <c r="B145" t="inlineStr">
        <is>
          <t>Industrials</t>
        </is>
      </c>
      <c r="C145" t="inlineStr">
        <is>
          <t>BA</t>
        </is>
      </c>
      <c r="D145" t="inlineStr">
        <is>
          <t>Boeing Co</t>
        </is>
      </c>
      <c r="E145" t="inlineStr">
        <is>
          <t>3.60</t>
        </is>
      </c>
      <c r="F145" t="inlineStr">
        <is>
          <t>General</t>
        </is>
      </c>
      <c r="G145" t="inlineStr">
        <is>
          <t>Boeing, Northrop Moving On Orders, Approvals; Plus Airbus' Engine Issue</t>
        </is>
      </c>
      <c r="H145" s="3" t="inlineStr">
        <is>
          <t>https://finance.yahoo.com/m/e29cab36-ada6-3bbe-948d-3a2b1f8ac811/boeing%2C-northrop-moving-on.html?.tsrc=rss</t>
        </is>
      </c>
      <c r="I145" t="inlineStr">
        <is>
          <t>2026-02-19</t>
        </is>
      </c>
      <c r="J145" t="inlineStr">
        <is>
          <t>Boeing, Northrop Moving On Orders, Approvals; Plus Airbus' E. Boeing lands more than $30 billion in orders, FTC approval. Airbus warns engine shortage</t>
        </is>
      </c>
      <c r="K145" s="7" t="n">
        <v>-0.4883</v>
      </c>
    </row>
    <row r="146">
      <c r="A146" t="inlineStr">
        <is>
          <t>XLI</t>
        </is>
      </c>
      <c r="B146" t="inlineStr">
        <is>
          <t>Industrials</t>
        </is>
      </c>
      <c r="C146" t="inlineStr">
        <is>
          <t>BA</t>
        </is>
      </c>
      <c r="D146" t="inlineStr">
        <is>
          <t>Boeing Co</t>
        </is>
      </c>
      <c r="E146" t="inlineStr">
        <is>
          <t>3.60</t>
        </is>
      </c>
      <c r="F146" t="inlineStr">
        <is>
          <t>General</t>
        </is>
      </c>
      <c r="G146" t="inlineStr">
        <is>
          <t>Airbus posts record year — but Washington still prefers the Boeing 'home' team</t>
        </is>
      </c>
      <c r="H146" s="3" t="inlineStr">
        <is>
          <t>https://www.euronews.com/business/2026/02/19/airbus-posts-record-year-but-washington-still-prefers-the-boeing-home-team?utm_source=yahoo&amp;utm_campaign=feeds_business_articles_2024&amp;utm_medium=referral&amp;.tsrc=rss</t>
        </is>
      </c>
      <c r="I146" t="inlineStr">
        <is>
          <t>2026-02-19</t>
        </is>
      </c>
      <c r="J146" t="inlineStr">
        <is>
          <t>Airbus posts record year — but Washington still prefers the . Euronews' flagship morning TV show with the news and insights that drive Europe, live fr</t>
        </is>
      </c>
      <c r="K146" s="5" t="n">
        <v>0.342</v>
      </c>
    </row>
    <row r="147">
      <c r="A147" t="inlineStr">
        <is>
          <t>XLI</t>
        </is>
      </c>
      <c r="B147" t="inlineStr">
        <is>
          <t>Industrials</t>
        </is>
      </c>
      <c r="C147" t="inlineStr">
        <is>
          <t>BA</t>
        </is>
      </c>
      <c r="D147" t="inlineStr">
        <is>
          <t>Boeing Co</t>
        </is>
      </c>
      <c r="E147" t="inlineStr">
        <is>
          <t>3.60</t>
        </is>
      </c>
      <c r="F147" t="inlineStr">
        <is>
          <t>Product</t>
        </is>
      </c>
      <c r="G147" t="inlineStr">
        <is>
          <t>Boeing Receives Initial Qualification for 777-9 Training Devices</t>
        </is>
      </c>
      <c r="H147" s="3" t="inlineStr">
        <is>
          <t>https://finance.yahoo.com/news/boeing-receives-initial-qualification-777-130000150.html?.tsrc=rss</t>
        </is>
      </c>
      <c r="I147" t="inlineStr">
        <is>
          <t>2026-02-19</t>
        </is>
      </c>
      <c r="J147" t="inlineStr">
        <is>
          <t>Boeing Receives Initial Qualification for 777-9 Training Dev. Federal Aviation Administration (FAA) and European Union Aviation Safety Agency (EASA) a</t>
        </is>
      </c>
      <c r="K147" s="4" t="n">
        <v>0.7171</v>
      </c>
    </row>
    <row r="148">
      <c r="A148" t="inlineStr">
        <is>
          <t>XLI</t>
        </is>
      </c>
      <c r="B148" t="inlineStr">
        <is>
          <t>Industrials</t>
        </is>
      </c>
      <c r="C148" t="inlineStr">
        <is>
          <t>UBER</t>
        </is>
      </c>
      <c r="D148" t="inlineStr">
        <is>
          <t>Uber Technologies Inc</t>
        </is>
      </c>
      <c r="E148" t="inlineStr">
        <is>
          <t>3.27</t>
        </is>
      </c>
      <c r="F148" t="inlineStr">
        <is>
          <t>Product</t>
        </is>
      </c>
      <c r="G148" t="inlineStr">
        <is>
          <t>Uber Expands Life360 Deal to Enhance Family Travel: Upside Ahead?</t>
        </is>
      </c>
      <c r="H148" s="3" t="inlineStr">
        <is>
          <t>https://finance.yahoo.com/news/uber-expands-life360-deal-enhance-134600012.html?.tsrc=rss</t>
        </is>
      </c>
      <c r="I148" t="inlineStr">
        <is>
          <t>2026-02-19</t>
        </is>
      </c>
      <c r="J148" t="inlineStr">
        <is>
          <t>Uber Expands Life360 Deal to Enhance Family Travel: Upside A. Uber Technologies UBER and Life360 LIF announced an expanded strategic partnership aimed</t>
        </is>
      </c>
      <c r="K148" s="4" t="n">
        <v>0.6808999999999999</v>
      </c>
    </row>
    <row r="149">
      <c r="A149" t="inlineStr">
        <is>
          <t>XLI</t>
        </is>
      </c>
      <c r="B149" t="inlineStr">
        <is>
          <t>Industrials</t>
        </is>
      </c>
      <c r="C149" t="inlineStr">
        <is>
          <t>UBER</t>
        </is>
      </c>
      <c r="D149" t="inlineStr">
        <is>
          <t>Uber Technologies Inc</t>
        </is>
      </c>
      <c r="E149" t="inlineStr">
        <is>
          <t>3.27</t>
        </is>
      </c>
      <c r="F149" t="inlineStr">
        <is>
          <t>General</t>
        </is>
      </c>
      <c r="G149" t="inlineStr">
        <is>
          <t>Intuit TurboTax Delivers the Ultimate "Done-For-You" Tax Experience Powered by AI and Human Intellig</t>
        </is>
      </c>
      <c r="H149" s="3" t="inlineStr">
        <is>
          <t>https://finance.yahoo.com/news/intuit-turbotax-delivers-ultimate-done-120000803.html?.tsrc=rss</t>
        </is>
      </c>
      <c r="I149" t="inlineStr">
        <is>
          <t>2026-02-19</t>
        </is>
      </c>
      <c r="J149" t="inlineStr">
        <is>
          <t>Intuit TurboTax Delivers the Ultimate "Done-For-You" Tax Exp. New campaign offers TurboTax filers free Uber rides, up to $25, to its 20 new stores and</t>
        </is>
      </c>
      <c r="K149" s="4" t="n">
        <v>0.5512</v>
      </c>
    </row>
    <row r="150">
      <c r="A150" t="inlineStr">
        <is>
          <t>XLI</t>
        </is>
      </c>
      <c r="B150" t="inlineStr">
        <is>
          <t>Industrials</t>
        </is>
      </c>
      <c r="C150" t="inlineStr">
        <is>
          <t>UBER</t>
        </is>
      </c>
      <c r="D150" t="inlineStr">
        <is>
          <t>Uber Technologies Inc</t>
        </is>
      </c>
      <c r="E150" t="inlineStr">
        <is>
          <t>3.27</t>
        </is>
      </c>
      <c r="F150" t="inlineStr">
        <is>
          <t>General</t>
        </is>
      </c>
      <c r="G150" t="inlineStr">
        <is>
          <t>Uber, Latest Victim of Disruption Panic, Still Has Role in Robotaxis</t>
        </is>
      </c>
      <c r="H150" s="3" t="inlineStr">
        <is>
          <t>https://finance.yahoo.com/m/8722d53c-f32d-39db-a596-af25208e404b/uber%2C-latest-victim-of.html?.tsrc=rss</t>
        </is>
      </c>
      <c r="I150" t="inlineStr">
        <is>
          <t>2026-02-19</t>
        </is>
      </c>
      <c r="J150" t="inlineStr">
        <is>
          <t>Uber, Latest Victim of Disruption Panic, Still Has Role in R. Uber can’t seem to emerge from the shadow of what’s to come. Robotaxis are barely off th</t>
        </is>
      </c>
      <c r="K150" t="n">
        <v>-0.1437</v>
      </c>
    </row>
    <row r="151">
      <c r="A151" t="inlineStr">
        <is>
          <t>XLI</t>
        </is>
      </c>
      <c r="B151" t="inlineStr">
        <is>
          <t>Industrials</t>
        </is>
      </c>
      <c r="C151" t="inlineStr">
        <is>
          <t>HON</t>
        </is>
      </c>
      <c r="D151" t="inlineStr">
        <is>
          <t>Honeywell International Inc</t>
        </is>
      </c>
      <c r="E151" t="inlineStr">
        <is>
          <t>2.84</t>
        </is>
      </c>
      <c r="F151" t="inlineStr">
        <is>
          <t>General</t>
        </is>
      </c>
      <c r="G151" t="inlineStr">
        <is>
          <t>Honeywell International CEO: Q1 Tracking to Guidance as Aerospace, Buildings Surge and Split Nears</t>
        </is>
      </c>
      <c r="H151" s="3" t="inlineStr">
        <is>
          <t>https://www.marketbeat.com/instant-alerts/honeywell-international-ceo-q1-tracking-to-guidance-as-aerospace-buildings-surge-and-split-nears-2026-02-19/?utm_source=yahoofinance&amp;utm_medium=yahoofinance&amp;.tsrc=rss</t>
        </is>
      </c>
      <c r="I151" t="inlineStr">
        <is>
          <t>2026-02-19</t>
        </is>
      </c>
      <c r="J151" t="inlineStr">
        <is>
          <t>Honeywell International CEO: Q1 Tracking to Guidance as Aero. Honeywell International NASDAQ: HON Chairman and CEO Vimal Kapur said the company’s mome</t>
        </is>
      </c>
      <c r="K151" s="5" t="n">
        <v>0.3618</v>
      </c>
    </row>
    <row r="152">
      <c r="A152" t="inlineStr">
        <is>
          <t>XLI</t>
        </is>
      </c>
      <c r="B152" t="inlineStr">
        <is>
          <t>Industrials</t>
        </is>
      </c>
      <c r="C152" t="inlineStr">
        <is>
          <t>UNP</t>
        </is>
      </c>
      <c r="D152" t="inlineStr">
        <is>
          <t>Union Pacific Corp</t>
        </is>
      </c>
      <c r="E152" t="inlineStr">
        <is>
          <t>2.74</t>
        </is>
      </c>
      <c r="F152" t="inlineStr">
        <is>
          <t>M&amp;A</t>
        </is>
      </c>
      <c r="G152" t="inlineStr">
        <is>
          <t>Union Pacific Merger Delay Puts Regulatory Risks And Rail Rewards In Focus</t>
        </is>
      </c>
      <c r="H152" s="3" t="inlineStr">
        <is>
          <t>https://finance.yahoo.com/news/union-pacific-merger-delay-puts-181038520.html?.tsrc=rss</t>
        </is>
      </c>
      <c r="I152" t="inlineStr">
        <is>
          <t>2026-02-19</t>
        </is>
      </c>
      <c r="J152" t="inlineStr">
        <is>
          <t>Union Pacific Merger Delay Puts Regulatory Risks And Rail Re. Find your next quality investment with Simply Wall St's easy and powerful screener, trus</t>
        </is>
      </c>
      <c r="K152" t="n">
        <v>0.08400000000000001</v>
      </c>
    </row>
    <row r="153">
      <c r="A153" t="inlineStr">
        <is>
          <t>XLI</t>
        </is>
      </c>
      <c r="B153" t="inlineStr">
        <is>
          <t>Industrials</t>
        </is>
      </c>
      <c r="C153" t="inlineStr">
        <is>
          <t>UNP</t>
        </is>
      </c>
      <c r="D153" t="inlineStr">
        <is>
          <t>Union Pacific Corp</t>
        </is>
      </c>
      <c r="E153" t="inlineStr">
        <is>
          <t>2.74</t>
        </is>
      </c>
      <c r="F153" t="inlineStr">
        <is>
          <t>Product</t>
        </is>
      </c>
      <c r="G153" t="inlineStr">
        <is>
          <t>Novartis enters licensing agreement with UNP for peptide therapeutics</t>
        </is>
      </c>
      <c r="H153" s="3" t="inlineStr">
        <is>
          <t>https://www.pharmaceutical-technology.com/news/novartis-enters-licensing-agreement-unp/?.tsrc=rss</t>
        </is>
      </c>
      <c r="I153" t="inlineStr">
        <is>
          <t>2026-02-19</t>
        </is>
      </c>
      <c r="J153" t="inlineStr">
        <is>
          <t>Novartis enters licensing agreement with UNP for peptide the. Under the agreement, UNP will receive up to $100m in upfront and pre-IND milestone payme</t>
        </is>
      </c>
      <c r="K153" s="4" t="n">
        <v>0.6616</v>
      </c>
    </row>
    <row r="154">
      <c r="A154" t="inlineStr">
        <is>
          <t>XLI</t>
        </is>
      </c>
      <c r="B154" t="inlineStr">
        <is>
          <t>Industrials</t>
        </is>
      </c>
      <c r="C154" t="inlineStr">
        <is>
          <t>DE</t>
        </is>
      </c>
      <c r="D154" t="inlineStr">
        <is>
          <t>Deere &amp; Co</t>
        </is>
      </c>
      <c r="E154" t="inlineStr">
        <is>
          <t>2.61</t>
        </is>
      </c>
      <c r="F154" t="inlineStr">
        <is>
          <t>Earnings</t>
        </is>
      </c>
      <c r="G154" t="inlineStr">
        <is>
          <t>These Stocks Are Today’s Movers: Walmart, Occidental, Klarna, Wayfair, Deere, Omnicom, EPAM, and Mor</t>
        </is>
      </c>
      <c r="H154" s="3" t="inlineStr">
        <is>
          <t>https://finance.yahoo.com/m/05e95553-7994-3847-b07a-7e2f7db4489f/these-stocks-are-today%E2%80%99s.html?.tsrc=rss</t>
        </is>
      </c>
      <c r="I154" t="inlineStr">
        <is>
          <t>2026-02-19</t>
        </is>
      </c>
      <c r="J154" t="inlineStr">
        <is>
          <t>These Stocks Are Today’s Movers: Walmart, Occidental, Klarna. Walmart stock falls after the world’s largest retailer by revenue posts better-than-anti</t>
        </is>
      </c>
      <c r="K154" s="6" t="n">
        <v>-0.5661</v>
      </c>
    </row>
    <row r="155">
      <c r="A155" t="inlineStr">
        <is>
          <t>XLI</t>
        </is>
      </c>
      <c r="B155" t="inlineStr">
        <is>
          <t>Industrials</t>
        </is>
      </c>
      <c r="C155" t="inlineStr">
        <is>
          <t>DE</t>
        </is>
      </c>
      <c r="D155" t="inlineStr">
        <is>
          <t>Deere &amp; Co</t>
        </is>
      </c>
      <c r="E155" t="inlineStr">
        <is>
          <t>2.61</t>
        </is>
      </c>
      <c r="F155" t="inlineStr">
        <is>
          <t>Earnings</t>
        </is>
      </c>
      <c r="G155" t="inlineStr">
        <is>
          <t>Deere &amp; Company Q1 2026 Earnings Call Summary</t>
        </is>
      </c>
      <c r="H155" s="3" t="inlineStr">
        <is>
          <t>https://app.moby.co/home/research/tools/earningsCalendar/earnings-deere-company-q1-2026-earnings-call-summary?utm_source=yahoo_finance&amp;utm_medium=rss&amp;.tsrc=rss</t>
        </is>
      </c>
      <c r="I155" t="inlineStr">
        <is>
          <t>2026-02-19</t>
        </is>
      </c>
      <c r="J155" t="inlineStr">
        <is>
          <t>Deere &amp; Company Q1 2026 Earnings Call Summary. Moby summary of Deere &amp; Company's Q1 2026 earnings call</t>
        </is>
      </c>
      <c r="K155" t="n">
        <v>-0.0369</v>
      </c>
    </row>
    <row r="156">
      <c r="A156" t="inlineStr">
        <is>
          <t>XLI</t>
        </is>
      </c>
      <c r="B156" t="inlineStr">
        <is>
          <t>Industrials</t>
        </is>
      </c>
      <c r="C156" t="inlineStr">
        <is>
          <t>DE</t>
        </is>
      </c>
      <c r="D156" t="inlineStr">
        <is>
          <t>Deere &amp; Co</t>
        </is>
      </c>
      <c r="E156" t="inlineStr">
        <is>
          <t>2.61</t>
        </is>
      </c>
      <c r="F156" t="inlineStr">
        <is>
          <t>Earnings</t>
        </is>
      </c>
      <c r="G156" t="inlineStr">
        <is>
          <t>With orders increasing, John Deere recalls more workers in Dubuque</t>
        </is>
      </c>
      <c r="H156" s="3" t="inlineStr">
        <is>
          <t>https://www.desmoinesregister.com/story/money/business/2026/02/19/john-deere-dubuque-workers-recalled/88762414007/?.tsrc=rss</t>
        </is>
      </c>
      <c r="I156" t="inlineStr">
        <is>
          <t>2026-02-19</t>
        </is>
      </c>
      <c r="J156" t="inlineStr">
        <is>
          <t xml:space="preserve">With orders increasing, John Deere recalls more workers in D. John Deere says it will call 27 more laid‑off workers back to its Dubuque Works factory </t>
        </is>
      </c>
      <c r="K156" s="7" t="n">
        <v>-0.2344</v>
      </c>
    </row>
    <row r="157">
      <c r="A157" t="inlineStr">
        <is>
          <t>XLI</t>
        </is>
      </c>
      <c r="B157" t="inlineStr">
        <is>
          <t>Industrials</t>
        </is>
      </c>
      <c r="C157" t="inlineStr">
        <is>
          <t>DE</t>
        </is>
      </c>
      <c r="D157" t="inlineStr">
        <is>
          <t>Deere &amp; Co</t>
        </is>
      </c>
      <c r="E157" t="inlineStr">
        <is>
          <t>2.61</t>
        </is>
      </c>
      <c r="F157" t="inlineStr">
        <is>
          <t>Earnings</t>
        </is>
      </c>
      <c r="G157" t="inlineStr">
        <is>
          <t>Deere Stock Hits New 52-Week High. Investors Can See a Bottom.</t>
        </is>
      </c>
      <c r="H157" s="3" t="inlineStr">
        <is>
          <t>https://finance.yahoo.com/m/7ff559e1-48b8-31d3-ba6d-657c127288c3/deere-stock-hits-new-52-week.html?.tsrc=rss</t>
        </is>
      </c>
      <c r="I157" t="inlineStr">
        <is>
          <t>2026-02-19</t>
        </is>
      </c>
      <c r="J157" t="inlineStr">
        <is>
          <t>Deere Stock Hits New 52-Week High. Investors Can See a Botto. Deere stock jumped after the farm-equipment maker reported better-than-expected fiscal f</t>
        </is>
      </c>
      <c r="K157" s="7" t="n">
        <v>-0.2589</v>
      </c>
    </row>
    <row r="158">
      <c r="A158" t="inlineStr">
        <is>
          <t>XLI</t>
        </is>
      </c>
      <c r="B158" t="inlineStr">
        <is>
          <t>Industrials</t>
        </is>
      </c>
      <c r="C158" t="inlineStr">
        <is>
          <t>DE</t>
        </is>
      </c>
      <c r="D158" t="inlineStr">
        <is>
          <t>Deere &amp; Co</t>
        </is>
      </c>
      <c r="E158" t="inlineStr">
        <is>
          <t>2.61</t>
        </is>
      </c>
      <c r="F158" t="inlineStr">
        <is>
          <t>Earnings</t>
        </is>
      </c>
      <c r="G158" t="inlineStr">
        <is>
          <t>Deere &amp; Co (DE) Q1 2026 Earnings Call Highlights: Strong Sales Growth Amid Market Challenges</t>
        </is>
      </c>
      <c r="H158" s="3" t="inlineStr">
        <is>
          <t>https://finance.yahoo.com/news/deere-co-q1-2026-earnings-210439899.html?.tsrc=rss</t>
        </is>
      </c>
      <c r="I158" t="inlineStr">
        <is>
          <t>2026-02-19</t>
        </is>
      </c>
      <c r="J158" t="inlineStr">
        <is>
          <t>Deere &amp; Co (DE) Q1 2026 Earnings Call Highlights: Strong Sal. This article first appeared on GuruFocus. Net Sales and Revenues: Up 13% to $9</t>
        </is>
      </c>
      <c r="K158" s="4" t="n">
        <v>0.7127</v>
      </c>
    </row>
    <row r="159">
      <c r="A159" t="inlineStr">
        <is>
          <t>XLI</t>
        </is>
      </c>
      <c r="B159" t="inlineStr">
        <is>
          <t>Industrials</t>
        </is>
      </c>
      <c r="C159" t="inlineStr">
        <is>
          <t>DE</t>
        </is>
      </c>
      <c r="D159" t="inlineStr">
        <is>
          <t>Deere &amp; Co</t>
        </is>
      </c>
      <c r="E159" t="inlineStr">
        <is>
          <t>2.61</t>
        </is>
      </c>
      <c r="F159" t="inlineStr">
        <is>
          <t>Earnings</t>
        </is>
      </c>
      <c r="G159" t="inlineStr">
        <is>
          <t>Deere lifts full-year profit forecast as construction, sales rebound</t>
        </is>
      </c>
      <c r="H159" s="3" t="inlineStr">
        <is>
          <t>https://finance.yahoo.com/video/deere-lifts-full-profit-forecast-183935575.html?.tsrc=rss</t>
        </is>
      </c>
      <c r="I159" t="inlineStr">
        <is>
          <t>2026-02-19</t>
        </is>
      </c>
      <c r="J159" t="inlineStr">
        <is>
          <t>Deere lifts full-year profit forecast as construction, sales. &lt;span&gt;STORY: Farm machinery maker Deere’s stock surged 12% to an all-time high in Thursd</t>
        </is>
      </c>
      <c r="K159" s="5" t="n">
        <v>0.3877</v>
      </c>
    </row>
    <row r="160">
      <c r="A160" t="inlineStr">
        <is>
          <t>XLI</t>
        </is>
      </c>
      <c r="B160" t="inlineStr">
        <is>
          <t>Industrials</t>
        </is>
      </c>
      <c r="C160" t="inlineStr">
        <is>
          <t>DE</t>
        </is>
      </c>
      <c r="D160" t="inlineStr">
        <is>
          <t>Deere &amp; Co</t>
        </is>
      </c>
      <c r="E160" t="inlineStr">
        <is>
          <t>2.61</t>
        </is>
      </c>
      <c r="F160" t="inlineStr">
        <is>
          <t>Earnings</t>
        </is>
      </c>
      <c r="G160" t="inlineStr">
        <is>
          <t>Should You Run With Deere After Big Beat-and-Raise Quarter?</t>
        </is>
      </c>
      <c r="H160" s="3" t="inlineStr">
        <is>
          <t>https://247wallst.com/investing/2026/02/19/should-you-run-with-deere-after-big-beat-and-raise-quarter/?.tsrc=rss</t>
        </is>
      </c>
      <c r="I160" t="inlineStr">
        <is>
          <t>2026-02-19</t>
        </is>
      </c>
      <c r="J160" t="inlineStr">
        <is>
          <t xml:space="preserve">Should You Run With Deere After Big Beat-and-Raise Quarter?. Deere &amp; Company (NYSE:DE) reported first-quarter fiscal 2026 results yesterday that beat </t>
        </is>
      </c>
      <c r="K160" s="5" t="n">
        <v>0.2759</v>
      </c>
    </row>
    <row r="161">
      <c r="A161" t="inlineStr">
        <is>
          <t>XLI</t>
        </is>
      </c>
      <c r="B161" t="inlineStr">
        <is>
          <t>Industrials</t>
        </is>
      </c>
      <c r="C161" t="inlineStr">
        <is>
          <t>DE</t>
        </is>
      </c>
      <c r="D161" t="inlineStr">
        <is>
          <t>Deere &amp; Co</t>
        </is>
      </c>
      <c r="E161" t="inlineStr">
        <is>
          <t>2.61</t>
        </is>
      </c>
      <c r="F161" t="inlineStr">
        <is>
          <t>Earnings</t>
        </is>
      </c>
      <c r="G161" t="inlineStr">
        <is>
          <t>Deere Soars as Tractor Maker Sees Upturn in Farm Economy</t>
        </is>
      </c>
      <c r="H161" s="3" t="inlineStr">
        <is>
          <t>https://finance.yahoo.com/news/deere-lifts-annual-profit-outlook-111207990.html?.tsrc=rss</t>
        </is>
      </c>
      <c r="I161" t="inlineStr">
        <is>
          <t>2026-02-19</t>
        </is>
      </c>
      <c r="J161" t="inlineStr">
        <is>
          <t>Deere Soars as Tractor Maker Sees Upturn in Farm Economy. (Bloomberg) -- Deere &amp; Co. shares climbed the most in six years as the world’s largest farm-</t>
        </is>
      </c>
      <c r="K161" s="4" t="n">
        <v>0.85</v>
      </c>
    </row>
    <row r="162">
      <c r="A162" t="inlineStr">
        <is>
          <t>XLI</t>
        </is>
      </c>
      <c r="B162" t="inlineStr">
        <is>
          <t>Industrials</t>
        </is>
      </c>
      <c r="C162" t="inlineStr">
        <is>
          <t>DE</t>
        </is>
      </c>
      <c r="D162" t="inlineStr">
        <is>
          <t>Deere &amp; Co</t>
        </is>
      </c>
      <c r="E162" t="inlineStr">
        <is>
          <t>2.61</t>
        </is>
      </c>
      <c r="F162" t="inlineStr">
        <is>
          <t>General</t>
        </is>
      </c>
      <c r="G162" t="inlineStr">
        <is>
          <t>Deere Has $600 Million Riding on Supreme Court’s Tariff Ruling</t>
        </is>
      </c>
      <c r="H162" s="3" t="inlineStr">
        <is>
          <t>https://finance.yahoo.com/m/5fc36bda-377a-3bee-8bc6-dae208b3a606/deere-has-%24600-million-riding.html?.tsrc=rss</t>
        </is>
      </c>
      <c r="I162" t="inlineStr">
        <is>
          <t>2026-02-19</t>
        </is>
      </c>
      <c r="J162" t="inlineStr">
        <is>
          <t>Deere Has $600 Million Riding on Supreme Court’s Tariff Ruli. Farm- and construction-equipment manufacturer Deere has about $600 million in tariff exp</t>
        </is>
      </c>
      <c r="K162" s="7" t="n">
        <v>-0.4435</v>
      </c>
    </row>
    <row r="163">
      <c r="A163" t="inlineStr">
        <is>
          <t>XLI</t>
        </is>
      </c>
      <c r="B163" t="inlineStr">
        <is>
          <t>Industrials</t>
        </is>
      </c>
      <c r="C163" t="inlineStr">
        <is>
          <t>DE</t>
        </is>
      </c>
      <c r="D163" t="inlineStr">
        <is>
          <t>Deere &amp; Co</t>
        </is>
      </c>
      <c r="E163" t="inlineStr">
        <is>
          <t>2.61</t>
        </is>
      </c>
      <c r="F163" t="inlineStr">
        <is>
          <t>Earnings</t>
        </is>
      </c>
      <c r="G163" t="inlineStr">
        <is>
          <t>Deere (DE) Q1 2026 Earnings Call Transcript</t>
        </is>
      </c>
      <c r="H163" s="3" t="inlineStr">
        <is>
          <t>https://www.fool.com/earnings/call-transcripts/2026/02/19/deere-de-q1-2026-earnings-call-transcript/?.tsrc=rss</t>
        </is>
      </c>
      <c r="I163" t="inlineStr">
        <is>
          <t>2026-02-19</t>
        </is>
      </c>
      <c r="J163" t="inlineStr">
        <is>
          <t>Deere (DE) Q1 2026 Earnings Call Transcript. Joining me on the call today are Josh Jepsen, Chief Financial Officer; Brian Campbell, President, Worldwi</t>
        </is>
      </c>
      <c r="K163" t="n">
        <v>0.0166</v>
      </c>
    </row>
    <row r="164">
      <c r="A164" t="inlineStr">
        <is>
          <t>XLI</t>
        </is>
      </c>
      <c r="B164" t="inlineStr">
        <is>
          <t>Industrials</t>
        </is>
      </c>
      <c r="C164" t="inlineStr">
        <is>
          <t>DE</t>
        </is>
      </c>
      <c r="D164" t="inlineStr">
        <is>
          <t>Deere &amp; Co</t>
        </is>
      </c>
      <c r="E164" t="inlineStr">
        <is>
          <t>2.61</t>
        </is>
      </c>
      <c r="F164" t="inlineStr">
        <is>
          <t>Earnings</t>
        </is>
      </c>
      <c r="G164" t="inlineStr">
        <is>
          <t>Deere Earnings Surpass Estimate in Q1, Sales Increase Y/Y</t>
        </is>
      </c>
      <c r="H164" s="3" t="inlineStr">
        <is>
          <t>https://finance.yahoo.com/news/deere-earnings-surpass-estimate-q1-155000900.html?.tsrc=rss</t>
        </is>
      </c>
      <c r="I164" t="inlineStr">
        <is>
          <t>2026-02-19</t>
        </is>
      </c>
      <c r="J164" t="inlineStr">
        <is>
          <t>Deere Earnings Surpass Estimate in Q1, Sales Increase Y/Y. DE tops Q1 earnings estimates, with 17. 5% y/y equipment sales growth and lifts the FY26 ne</t>
        </is>
      </c>
      <c r="K164" s="4" t="n">
        <v>0.819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s="2" t="inlineStr">
        <is>
          <t>XLB</t>
        </is>
      </c>
      <c r="B166" s="2">
        <f>== MATERIALS ===</f>
        <v/>
      </c>
      <c r="C166" s="2" t="inlineStr">
        <is>
          <t>Simple: 0.5119</t>
        </is>
      </c>
      <c r="D166" s="2" t="inlineStr">
        <is>
          <t>Weighted: 0.5344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</row>
    <row r="167">
      <c r="A167" t="inlineStr">
        <is>
          <t>XLB</t>
        </is>
      </c>
      <c r="B167" t="inlineStr">
        <is>
          <t>Materials</t>
        </is>
      </c>
      <c r="C167" t="inlineStr">
        <is>
          <t>NEM</t>
        </is>
      </c>
      <c r="D167" t="inlineStr">
        <is>
          <t>Newmont Corp</t>
        </is>
      </c>
      <c r="E167" t="inlineStr">
        <is>
          <t>7.82</t>
        </is>
      </c>
      <c r="F167" t="inlineStr">
        <is>
          <t>Earnings</t>
        </is>
      </c>
      <c r="G167" t="inlineStr">
        <is>
          <t>Newmont beats Q4 estimates, highlights record free cash flow; Shares rise 1%</t>
        </is>
      </c>
      <c r="H167" s="3" t="inlineStr">
        <is>
          <t>https://finance.yahoo.com/news/newmont-beats-q4-estimates-highlights-223031302.html?.tsrc=rss</t>
        </is>
      </c>
      <c r="I167" t="inlineStr">
        <is>
          <t>2026-02-19</t>
        </is>
      </c>
      <c r="J167" t="inlineStr">
        <is>
          <t>Newmont beats Q4 estimates, highlights record free cash flow. com -- Newmont (NYSE: NEM) reported fourth-quarter results that topped Wall Street expec</t>
        </is>
      </c>
      <c r="K167" s="4" t="n">
        <v>0.7813</v>
      </c>
    </row>
    <row r="168">
      <c r="A168" t="inlineStr">
        <is>
          <t>XLB</t>
        </is>
      </c>
      <c r="B168" t="inlineStr">
        <is>
          <t>Materials</t>
        </is>
      </c>
      <c r="C168" t="inlineStr">
        <is>
          <t>NEM</t>
        </is>
      </c>
      <c r="D168" t="inlineStr">
        <is>
          <t>Newmont Corp</t>
        </is>
      </c>
      <c r="E168" t="inlineStr">
        <is>
          <t>7.82</t>
        </is>
      </c>
      <c r="F168" t="inlineStr">
        <is>
          <t>Earnings</t>
        </is>
      </c>
      <c r="G168" t="inlineStr">
        <is>
          <t>Newmont Beats Expectations for Fifth Straight Quarter. The Mining Stock Is Rising.</t>
        </is>
      </c>
      <c r="H168" s="3" t="inlineStr">
        <is>
          <t>https://finance.yahoo.com/m/5163592e-ec99-3f76-9a4c-b377339b562f/newmont-beats-expectations.html?.tsrc=rss</t>
        </is>
      </c>
      <c r="I168" t="inlineStr">
        <is>
          <t>2026-02-19</t>
        </is>
      </c>
      <c r="J168" t="inlineStr">
        <is>
          <t xml:space="preserve">Newmont Beats Expectations for Fifth Straight Quarter. The M. Gold mining company Newmont posted its fifth straight earnings and revenue beat for the </t>
        </is>
      </c>
      <c r="K168" s="4" t="n">
        <v>0.8025</v>
      </c>
    </row>
    <row r="169">
      <c r="A169" t="inlineStr">
        <is>
          <t>XLB</t>
        </is>
      </c>
      <c r="B169" t="inlineStr">
        <is>
          <t>Materials</t>
        </is>
      </c>
      <c r="C169" t="inlineStr">
        <is>
          <t>NEM</t>
        </is>
      </c>
      <c r="D169" t="inlineStr">
        <is>
          <t>Newmont Corp</t>
        </is>
      </c>
      <c r="E169" t="inlineStr">
        <is>
          <t>7.82</t>
        </is>
      </c>
      <c r="F169" t="inlineStr">
        <is>
          <t>Earnings</t>
        </is>
      </c>
      <c r="G169" t="inlineStr">
        <is>
          <t>Newmont: Q4 Earnings Snapshot</t>
        </is>
      </c>
      <c r="H169" s="3" t="inlineStr">
        <is>
          <t>https://finance.yahoo.com/news/newmont-q4-earnings-snapshot-215144240.html?.tsrc=rss</t>
        </is>
      </c>
      <c r="I169" t="inlineStr">
        <is>
          <t>2026-02-19</t>
        </is>
      </c>
      <c r="J169" t="inlineStr">
        <is>
          <t>Newmont: Q4 Earnings Snapshot. DENVER (AP) — DENVER (AP) — Newmont Corporation (NEM) on Thursday reported fourth-quarter earnings of $1. On a per-shar</t>
        </is>
      </c>
      <c r="K169" s="5" t="n">
        <v>0.3843</v>
      </c>
    </row>
    <row r="170">
      <c r="A170" t="inlineStr">
        <is>
          <t>XLB</t>
        </is>
      </c>
      <c r="B170" t="inlineStr">
        <is>
          <t>Materials</t>
        </is>
      </c>
      <c r="C170" t="inlineStr">
        <is>
          <t>NEM</t>
        </is>
      </c>
      <c r="D170" t="inlineStr">
        <is>
          <t>Newmont Corp</t>
        </is>
      </c>
      <c r="E170" t="inlineStr">
        <is>
          <t>7.82</t>
        </is>
      </c>
      <c r="F170" t="inlineStr">
        <is>
          <t>Earnings</t>
        </is>
      </c>
      <c r="G170" t="inlineStr">
        <is>
          <t>Newmont Fourth-Quarter Profit, Sales Climb Amid Surging Gold Prices</t>
        </is>
      </c>
      <c r="H170" s="3" t="inlineStr">
        <is>
          <t>https://finance.yahoo.com/m/1faf6941-ff74-3a32-95a1-3f4e1fa2890c/newmont-fourth-quarter.html?.tsrc=rss</t>
        </is>
      </c>
      <c r="I170" t="inlineStr">
        <is>
          <t>2026-02-19</t>
        </is>
      </c>
      <c r="J170" t="inlineStr">
        <is>
          <t xml:space="preserve">Newmont Fourth-Quarter Profit, Sales Climb Amid Surging Gold. The gold-mining company posted a profit of $1. 30 billion as the price of gold rose 60% </t>
        </is>
      </c>
      <c r="K170" s="4" t="n">
        <v>0.7751</v>
      </c>
    </row>
    <row r="171">
      <c r="A171" t="inlineStr">
        <is>
          <t>XLB</t>
        </is>
      </c>
      <c r="B171" t="inlineStr">
        <is>
          <t>Materials</t>
        </is>
      </c>
      <c r="C171" t="inlineStr">
        <is>
          <t>NEM</t>
        </is>
      </c>
      <c r="D171" t="inlineStr">
        <is>
          <t>Newmont Corp</t>
        </is>
      </c>
      <c r="E171" t="inlineStr">
        <is>
          <t>7.82</t>
        </is>
      </c>
      <c r="F171" t="inlineStr">
        <is>
          <t>Product</t>
        </is>
      </c>
      <c r="G171" t="inlineStr">
        <is>
          <t>Newmont Reports 2025 Mineral Reserves of 118.2 Million Gold Ounces and 12.5 Million Tonnes of Copper</t>
        </is>
      </c>
      <c r="H171" s="3" t="inlineStr">
        <is>
          <t>https://finance.yahoo.com/news/newmont-reports-2025-mineral-reserves-210800117.html?.tsrc=rss</t>
        </is>
      </c>
      <c r="I171" t="inlineStr">
        <is>
          <t>2026-02-19</t>
        </is>
      </c>
      <c r="J171" t="inlineStr">
        <is>
          <t>Newmont Reports 2025 Mineral Reserves of 118.2 Million Gold . DENVER, February 19, 2026--(BUSINESS WIRE)--Newmont Corporation (NYSE: NEM, ASX: NGT, PN</t>
        </is>
      </c>
      <c r="K171" s="4" t="n">
        <v>0.5881</v>
      </c>
    </row>
    <row r="172">
      <c r="A172" t="inlineStr">
        <is>
          <t>XLB</t>
        </is>
      </c>
      <c r="B172" t="inlineStr">
        <is>
          <t>Materials</t>
        </is>
      </c>
      <c r="C172" t="inlineStr">
        <is>
          <t>NEM</t>
        </is>
      </c>
      <c r="D172" t="inlineStr">
        <is>
          <t>Newmont Corp</t>
        </is>
      </c>
      <c r="E172" t="inlineStr">
        <is>
          <t>7.82</t>
        </is>
      </c>
      <c r="F172" t="inlineStr">
        <is>
          <t>Earnings</t>
        </is>
      </c>
      <c r="G172" t="inlineStr">
        <is>
          <t>Newmont CEO Shift Tests Capital Choices After Earnings Beats And Deleveraging</t>
        </is>
      </c>
      <c r="H172" s="3" t="inlineStr">
        <is>
          <t>https://finance.yahoo.com/news/newmont-ceo-shift-tests-capital-160905346.html?.tsrc=rss</t>
        </is>
      </c>
      <c r="I172" t="inlineStr">
        <is>
          <t>2026-02-19</t>
        </is>
      </c>
      <c r="J172" t="inlineStr">
        <is>
          <t>Newmont CEO Shift Tests Capital Choices After Earnings Beats. Never miss an important update on your stock portfolio and cut through the noise. Over 7</t>
        </is>
      </c>
      <c r="K172" s="5" t="n">
        <v>0.2918</v>
      </c>
    </row>
    <row r="173">
      <c r="A173" t="inlineStr">
        <is>
          <t>XLB</t>
        </is>
      </c>
      <c r="B173" t="inlineStr">
        <is>
          <t>Materials</t>
        </is>
      </c>
      <c r="C173" t="inlineStr">
        <is>
          <t>FCX</t>
        </is>
      </c>
      <c r="D173" t="inlineStr">
        <is>
          <t>Freeport-McMoRan Inc</t>
        </is>
      </c>
      <c r="E173" t="inlineStr">
        <is>
          <t>5.52</t>
        </is>
      </c>
      <c r="F173" t="inlineStr">
        <is>
          <t>Earnings</t>
        </is>
      </c>
      <c r="G173" t="inlineStr">
        <is>
          <t>How The Narrative Around Freeport McMoRan (FCX) Is Shifting With New Copper And Grasberg Assumptions</t>
        </is>
      </c>
      <c r="H173" s="3" t="inlineStr">
        <is>
          <t>https://finance.yahoo.com/news/narrative-around-freeport-mcmoran-fcx-221314137.html?.tsrc=rss</t>
        </is>
      </c>
      <c r="I173" t="inlineStr">
        <is>
          <t>2026-02-19</t>
        </is>
      </c>
      <c r="J173" t="inlineStr">
        <is>
          <t>How The Narrative Around Freeport McMoRan (FCX) Is Shifting . Never miss an important update on your stock portfolio and cut through the noise. Over 7</t>
        </is>
      </c>
      <c r="K173" s="4" t="n">
        <v>0.6714</v>
      </c>
    </row>
    <row r="174">
      <c r="A174" t="inlineStr">
        <is>
          <t>XLB</t>
        </is>
      </c>
      <c r="B174" t="inlineStr">
        <is>
          <t>Materials</t>
        </is>
      </c>
      <c r="C174" t="inlineStr">
        <is>
          <t>FCX</t>
        </is>
      </c>
      <c r="D174" t="inlineStr">
        <is>
          <t>Freeport-McMoRan Inc</t>
        </is>
      </c>
      <c r="E174" t="inlineStr">
        <is>
          <t>5.52</t>
        </is>
      </c>
      <c r="F174" t="inlineStr">
        <is>
          <t>Earnings</t>
        </is>
      </c>
      <c r="G174" t="inlineStr">
        <is>
          <t>A Look At Freeport McMoRan (FCX) Valuation After A Strong Three Month Share Price Run</t>
        </is>
      </c>
      <c r="H174" s="3" t="inlineStr">
        <is>
          <t>https://finance.yahoo.com/news/look-freeport-mcmoran-fcx-valuation-091507626.html?.tsrc=rss</t>
        </is>
      </c>
      <c r="I174" t="inlineStr">
        <is>
          <t>2026-02-19</t>
        </is>
      </c>
      <c r="J174" t="inlineStr">
        <is>
          <t>A Look At Freeport McMoRan (FCX) Valuation After A Strong Th. Find your next quality investment with Simply Wall St's easy and powerful screener, trus</t>
        </is>
      </c>
      <c r="K174" s="4" t="n">
        <v>0.6343</v>
      </c>
    </row>
    <row r="175">
      <c r="A175" t="inlineStr">
        <is>
          <t>XLB</t>
        </is>
      </c>
      <c r="B175" t="inlineStr">
        <is>
          <t>Materials</t>
        </is>
      </c>
      <c r="C175" t="inlineStr">
        <is>
          <t>CRH</t>
        </is>
      </c>
      <c r="D175" t="inlineStr">
        <is>
          <t>CRH PLC</t>
        </is>
      </c>
      <c r="E175" t="inlineStr">
        <is>
          <t>5.23</t>
        </is>
      </c>
      <c r="F175" t="inlineStr">
        <is>
          <t>Earnings</t>
        </is>
      </c>
      <c r="G175" t="inlineStr">
        <is>
          <t>CRH Delivers Strong Construction Outlook. Why Investors Wanted More.</t>
        </is>
      </c>
      <c r="H175" s="3" t="inlineStr">
        <is>
          <t>https://finance.yahoo.com/m/dbfb3e9d-5422-337d-93d0-614bd7c91229/crh-delivers-strong.html?.tsrc=rss</t>
        </is>
      </c>
      <c r="I175" t="inlineStr">
        <is>
          <t>2026-02-19</t>
        </is>
      </c>
      <c r="J175" t="inlineStr">
        <is>
          <t>CRH Delivers Strong Construction Outlook. Why Investors Want. CRH as one of the largest U. construction and construction materials companies, is a bel</t>
        </is>
      </c>
      <c r="K175" s="4" t="n">
        <v>0.8189</v>
      </c>
    </row>
    <row r="176">
      <c r="A176" t="inlineStr">
        <is>
          <t>XLB</t>
        </is>
      </c>
      <c r="B176" t="inlineStr">
        <is>
          <t>Materials</t>
        </is>
      </c>
      <c r="C176" t="inlineStr">
        <is>
          <t>CRH</t>
        </is>
      </c>
      <c r="D176" t="inlineStr">
        <is>
          <t>CRH PLC</t>
        </is>
      </c>
      <c r="E176" t="inlineStr">
        <is>
          <t>5.23</t>
        </is>
      </c>
      <c r="F176" t="inlineStr">
        <is>
          <t>Earnings</t>
        </is>
      </c>
      <c r="G176" t="inlineStr">
        <is>
          <t>CRH PLC (CRH) Q4 2025 Earnings Call Highlights: Record Financial Performance and Strategic ...</t>
        </is>
      </c>
      <c r="H176" s="3" t="inlineStr">
        <is>
          <t>https://finance.yahoo.com/news/crh-plc-crh-q4-2025-190338429.html?.tsrc=rss</t>
        </is>
      </c>
      <c r="I176" t="inlineStr">
        <is>
          <t>2026-02-19</t>
        </is>
      </c>
      <c r="J176" t="inlineStr">
        <is>
          <t>CRH PLC (CRH) Q4 2025 Earnings Call Highlights: Record Finan. This article first appeared on GuruFocus. Total Full Year Revenue: $37</t>
        </is>
      </c>
      <c r="K176" s="4" t="n">
        <v>0.7795</v>
      </c>
    </row>
    <row r="177">
      <c r="A177" t="inlineStr">
        <is>
          <t>XLB</t>
        </is>
      </c>
      <c r="B177" t="inlineStr">
        <is>
          <t>Materials</t>
        </is>
      </c>
      <c r="C177" t="inlineStr">
        <is>
          <t>CRH</t>
        </is>
      </c>
      <c r="D177" t="inlineStr">
        <is>
          <t>CRH PLC</t>
        </is>
      </c>
      <c r="E177" t="inlineStr">
        <is>
          <t>5.23</t>
        </is>
      </c>
      <c r="F177" t="inlineStr">
        <is>
          <t>Earnings</t>
        </is>
      </c>
      <c r="G177" t="inlineStr">
        <is>
          <t>Assessing CRH (NYSE:CRH) Valuation After Earnings Strength, Dividend Hike And New Buyback Program</t>
        </is>
      </c>
      <c r="H177" s="3" t="inlineStr">
        <is>
          <t>https://finance.yahoo.com/news/assessing-crh-nyse-crh-valuation-180850710.html?.tsrc=rss</t>
        </is>
      </c>
      <c r="I177" t="inlineStr">
        <is>
          <t>2026-02-19</t>
        </is>
      </c>
      <c r="J177" t="inlineStr">
        <is>
          <t>Assessing CRH (NYSE:CRH) Valuation After Earnings Strength, . Find winning stocks in any market cycle. Join 7 million investors using Simply Wall St's</t>
        </is>
      </c>
      <c r="K177" s="4" t="n">
        <v>0.6233</v>
      </c>
    </row>
    <row r="178">
      <c r="A178" t="inlineStr">
        <is>
          <t>XLB</t>
        </is>
      </c>
      <c r="B178" t="inlineStr">
        <is>
          <t>Materials</t>
        </is>
      </c>
      <c r="C178" t="inlineStr">
        <is>
          <t>CRH</t>
        </is>
      </c>
      <c r="D178" t="inlineStr">
        <is>
          <t>CRH PLC</t>
        </is>
      </c>
      <c r="E178" t="inlineStr">
        <is>
          <t>5.23</t>
        </is>
      </c>
      <c r="F178" t="inlineStr">
        <is>
          <t>Earnings</t>
        </is>
      </c>
      <c r="G178" t="inlineStr">
        <is>
          <t>CRH's Q4 Earnings Meet Estimates, Revenues Up Y/Y, Stock Down</t>
        </is>
      </c>
      <c r="H178" s="3" t="inlineStr">
        <is>
          <t>https://finance.yahoo.com/news/crhs-q4-earnings-meet-estimates-152800690.html?.tsrc=rss</t>
        </is>
      </c>
      <c r="I178" t="inlineStr">
        <is>
          <t>2026-02-19</t>
        </is>
      </c>
      <c r="J178" t="inlineStr">
        <is>
          <t xml:space="preserve">CRH's Q4 Earnings Meet Estimates, Revenues Up Y/Y, Stock Dow. CRH plc CRH delivered mixed fourth-quarter 2025 results, with adjusted earnings meeting </t>
        </is>
      </c>
      <c r="K178" s="4" t="n">
        <v>0.5448</v>
      </c>
    </row>
    <row r="179">
      <c r="A179" t="inlineStr">
        <is>
          <t>XLB</t>
        </is>
      </c>
      <c r="B179" t="inlineStr">
        <is>
          <t>Materials</t>
        </is>
      </c>
      <c r="C179" t="inlineStr">
        <is>
          <t>CRH</t>
        </is>
      </c>
      <c r="D179" t="inlineStr">
        <is>
          <t>CRH PLC</t>
        </is>
      </c>
      <c r="E179" t="inlineStr">
        <is>
          <t>5.23</t>
        </is>
      </c>
      <c r="F179" t="inlineStr">
        <is>
          <t>Earnings</t>
        </is>
      </c>
      <c r="G179" t="inlineStr">
        <is>
          <t>CRH plc Q4 2025 Earnings Call Summary</t>
        </is>
      </c>
      <c r="H179" s="3" t="inlineStr">
        <is>
          <t>https://app.moby.co/home/research/tools/earningsCalendar/earnings-crh-plc-q4-2025-earnings-call-summary?utm_source=yahoo_finance&amp;utm_medium=rss&amp;.tsrc=rss</t>
        </is>
      </c>
      <c r="I179" t="inlineStr">
        <is>
          <t>2026-02-19</t>
        </is>
      </c>
      <c r="J179" t="inlineStr">
        <is>
          <t>CRH plc Q4 2025 Earnings Call Summary</t>
        </is>
      </c>
      <c r="K179" t="n">
        <v>-0.0342</v>
      </c>
    </row>
    <row r="180">
      <c r="A180" t="inlineStr">
        <is>
          <t>XLB</t>
        </is>
      </c>
      <c r="B180" t="inlineStr">
        <is>
          <t>Materials</t>
        </is>
      </c>
      <c r="C180" t="inlineStr">
        <is>
          <t>APD</t>
        </is>
      </c>
      <c r="D180" t="inlineStr">
        <is>
          <t>Air Products and Chemicals Inc</t>
        </is>
      </c>
      <c r="E180" t="inlineStr">
        <is>
          <t>4.63</t>
        </is>
      </c>
      <c r="F180" t="inlineStr">
        <is>
          <t>Earnings</t>
        </is>
      </c>
      <c r="G180" t="inlineStr">
        <is>
          <t>How Recent Analyst Revisions Are Shaping The Story For Air Products And Chemicals (APD)</t>
        </is>
      </c>
      <c r="H180" s="3" t="inlineStr">
        <is>
          <t>https://finance.yahoo.com/news/recent-analyst-revisions-shaping-story-190859945.html?.tsrc=rss</t>
        </is>
      </c>
      <c r="I180" t="inlineStr">
        <is>
          <t>2026-02-19</t>
        </is>
      </c>
      <c r="J180" t="inlineStr">
        <is>
          <t xml:space="preserve">How Recent Analyst Revisions Are Shaping The Story For Air P. Make better investment decisions with Simply Wall St's easy, visual tools that give you </t>
        </is>
      </c>
      <c r="K180" s="4" t="n">
        <v>0.7486</v>
      </c>
    </row>
    <row r="181">
      <c r="A181" t="inlineStr">
        <is>
          <t>XLB</t>
        </is>
      </c>
      <c r="B181" t="inlineStr">
        <is>
          <t>Materials</t>
        </is>
      </c>
      <c r="C181" t="inlineStr">
        <is>
          <t>APD</t>
        </is>
      </c>
      <c r="D181" t="inlineStr">
        <is>
          <t>Air Products and Chemicals Inc</t>
        </is>
      </c>
      <c r="E181" t="inlineStr">
        <is>
          <t>4.63</t>
        </is>
      </c>
      <c r="F181" t="inlineStr">
        <is>
          <t>Earnings</t>
        </is>
      </c>
      <c r="G181" t="inlineStr">
        <is>
          <t>A Look At Air Products And Chemicals (APD) Valuation After Recent Share Price Rebound</t>
        </is>
      </c>
      <c r="H181" s="3" t="inlineStr">
        <is>
          <t>https://finance.yahoo.com/news/look-air-products-chemicals-apd-131017278.html?.tsrc=rss</t>
        </is>
      </c>
      <c r="I181" t="inlineStr">
        <is>
          <t>2026-02-19</t>
        </is>
      </c>
      <c r="J181" t="inlineStr">
        <is>
          <t>A Look At Air Products And Chemicals (APD) Valuation After R. Get insights on thousands of stocks from the global community of over 7 million individu</t>
        </is>
      </c>
      <c r="K181" s="5" t="n">
        <v>0.2126</v>
      </c>
    </row>
    <row r="182">
      <c r="A182" t="inlineStr">
        <is>
          <t>XLB</t>
        </is>
      </c>
      <c r="B182" t="inlineStr">
        <is>
          <t>Materials</t>
        </is>
      </c>
      <c r="C182" t="inlineStr">
        <is>
          <t>APD</t>
        </is>
      </c>
      <c r="D182" t="inlineStr">
        <is>
          <t>Air Products and Chemicals Inc</t>
        </is>
      </c>
      <c r="E182" t="inlineStr">
        <is>
          <t>4.63</t>
        </is>
      </c>
      <c r="F182" t="inlineStr">
        <is>
          <t>Earnings</t>
        </is>
      </c>
      <c r="G182" t="inlineStr">
        <is>
          <t>How Investors Are Reacting To Air Products (APD) Earnings Beat And Reaffirmed 2026 EPS Guidance</t>
        </is>
      </c>
      <c r="H182" s="3" t="inlineStr">
        <is>
          <t>https://finance.yahoo.com/news/investors-reacting-air-products-apd-091233334.html?.tsrc=rss</t>
        </is>
      </c>
      <c r="I182" t="inlineStr">
        <is>
          <t>2026-02-19</t>
        </is>
      </c>
      <c r="J182" t="inlineStr">
        <is>
          <t>How Investors Are Reacting To Air Products (APD) Earnings Be. In late January 2026, Air Products and Chemicals reported fiscal Q1 2026 adjusted EPS of</t>
        </is>
      </c>
      <c r="K182" s="4" t="n">
        <v>0.6533</v>
      </c>
    </row>
    <row r="183">
      <c r="A183" t="inlineStr">
        <is>
          <t>XLB</t>
        </is>
      </c>
      <c r="B183" t="inlineStr">
        <is>
          <t>Materials</t>
        </is>
      </c>
      <c r="C183" t="inlineStr">
        <is>
          <t>ECL</t>
        </is>
      </c>
      <c r="D183" t="inlineStr">
        <is>
          <t>Ecolab Inc</t>
        </is>
      </c>
      <c r="E183" t="inlineStr">
        <is>
          <t>4.58</t>
        </is>
      </c>
      <c r="F183" t="inlineStr">
        <is>
          <t>Product</t>
        </is>
      </c>
      <c r="G183" t="inlineStr">
        <is>
          <t>Ecolab Declares Cash Dividend</t>
        </is>
      </c>
      <c r="H183" s="3" t="inlineStr">
        <is>
          <t>https://finance.yahoo.com/news/ecolab-declares-cash-dividend-234500038.html?.tsrc=rss</t>
        </is>
      </c>
      <c r="I183" t="inlineStr">
        <is>
          <t>2026-02-19</t>
        </is>
      </c>
      <c r="J183" t="inlineStr">
        <is>
          <t>Ecolab Declares Cash Dividend. , February 19, 2026--(BUSINESS WIRE)--The board of directors of Ecolab Inc. today declared a regular quarterly cash div</t>
        </is>
      </c>
      <c r="K183" s="5" t="n">
        <v>0.4779</v>
      </c>
    </row>
    <row r="184">
      <c r="A184" t="inlineStr">
        <is>
          <t>XLB</t>
        </is>
      </c>
      <c r="B184" t="inlineStr">
        <is>
          <t>Materials</t>
        </is>
      </c>
      <c r="C184" t="inlineStr">
        <is>
          <t>ECL</t>
        </is>
      </c>
      <c r="D184" t="inlineStr">
        <is>
          <t>Ecolab Inc</t>
        </is>
      </c>
      <c r="E184" t="inlineStr">
        <is>
          <t>4.58</t>
        </is>
      </c>
      <c r="F184" t="inlineStr">
        <is>
          <t>Earnings</t>
        </is>
      </c>
      <c r="G184" t="inlineStr">
        <is>
          <t>Do Wall Street Analysts Like Ecolab Stock?</t>
        </is>
      </c>
      <c r="H184" s="3" t="inlineStr">
        <is>
          <t>https://www.barchart.com/story/news/298731/do-wall-street-analysts-like-ecolab-stock?.tsrc=rss</t>
        </is>
      </c>
      <c r="I184" t="inlineStr">
        <is>
          <t>2026-02-19</t>
        </is>
      </c>
      <c r="J184" t="inlineStr">
        <is>
          <t>Do Wall Street Analysts Like Ecolab Stock?. All information and data in this article is solely for informational purposes. For more information please</t>
        </is>
      </c>
      <c r="K184" s="4" t="n">
        <v>0.6196</v>
      </c>
    </row>
    <row r="185">
      <c r="A185" t="inlineStr">
        <is>
          <t>XLB</t>
        </is>
      </c>
      <c r="B185" t="inlineStr">
        <is>
          <t>Materials</t>
        </is>
      </c>
      <c r="C185" t="inlineStr">
        <is>
          <t>MLM</t>
        </is>
      </c>
      <c r="D185" t="inlineStr">
        <is>
          <t>Martin Marietta Materials Inc</t>
        </is>
      </c>
      <c r="E185" t="inlineStr">
        <is>
          <t>4.20</t>
        </is>
      </c>
      <c r="F185" t="inlineStr">
        <is>
          <t>Product</t>
        </is>
      </c>
      <c r="G185" t="inlineStr">
        <is>
          <t>Martin Marietta Declares Quarterly Cash Dividend</t>
        </is>
      </c>
      <c r="H185" s="3" t="inlineStr">
        <is>
          <t>https://finance.yahoo.com/news/martin-marietta-declares-quarterly-cash-211500846.html?.tsrc=rss</t>
        </is>
      </c>
      <c r="I185" t="inlineStr">
        <is>
          <t>2026-02-19</t>
        </is>
      </c>
      <c r="J185" t="inlineStr">
        <is>
          <t>Martin Marietta Declares Quarterly Cash Dividend. 19, 2026 (GLOBE NEWSWIRE) -- The board of directors of Martin Marietta Materials, Inc. (NYSE: MLM) (</t>
        </is>
      </c>
      <c r="K185" s="5" t="n">
        <v>0.2826</v>
      </c>
    </row>
    <row r="186">
      <c r="A186" t="inlineStr">
        <is>
          <t>XLB</t>
        </is>
      </c>
      <c r="B186" t="inlineStr">
        <is>
          <t>Materials</t>
        </is>
      </c>
      <c r="C186" t="inlineStr">
        <is>
          <t>MLM</t>
        </is>
      </c>
      <c r="D186" t="inlineStr">
        <is>
          <t>Martin Marietta Materials Inc</t>
        </is>
      </c>
      <c r="E186" t="inlineStr">
        <is>
          <t>4.20</t>
        </is>
      </c>
      <c r="F186" t="inlineStr">
        <is>
          <t>Earnings</t>
        </is>
      </c>
      <c r="G186" t="inlineStr">
        <is>
          <t>Bear of the Day: Martin Marietta Materials (MLM)</t>
        </is>
      </c>
      <c r="H186" s="3" t="inlineStr">
        <is>
          <t>https://finance.yahoo.com/news/bear-day-martin-marietta-materials-113000816.html?.tsrc=rss</t>
        </is>
      </c>
      <c r="I186" t="inlineStr">
        <is>
          <t>2026-02-19</t>
        </is>
      </c>
      <c r="J186" t="inlineStr">
        <is>
          <t>Bear of the Day: Martin Marietta Materials (MLM). Martin Marietta Materials (MLM), a Zacks Rank #5 (Strong Sell), is a building materials company that</t>
        </is>
      </c>
      <c r="K186" s="7" t="n">
        <v>-0.4171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s="2" t="inlineStr">
        <is>
          <t>XLRE</t>
        </is>
      </c>
      <c r="B188" s="2">
        <f>== REAL ESTATE ===</f>
        <v/>
      </c>
      <c r="C188" s="2" t="inlineStr">
        <is>
          <t>Simple: 0.3892</t>
        </is>
      </c>
      <c r="D188" s="2" t="inlineStr">
        <is>
          <t>Weighted: 0.3877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</row>
    <row r="189">
      <c r="A189" t="inlineStr">
        <is>
          <t>XLRE</t>
        </is>
      </c>
      <c r="B189" t="inlineStr">
        <is>
          <t>Real Estate</t>
        </is>
      </c>
      <c r="C189" t="inlineStr">
        <is>
          <t>PLD</t>
        </is>
      </c>
      <c r="D189" t="inlineStr">
        <is>
          <t>Prologis Inc</t>
        </is>
      </c>
      <c r="E189" t="inlineStr">
        <is>
          <t>9.30</t>
        </is>
      </c>
      <c r="F189" t="inlineStr">
        <is>
          <t>Earnings</t>
        </is>
      </c>
      <c r="G189" t="inlineStr">
        <is>
          <t>Is It Worth Investing in Prologis (PLD) Based on Wall Street's Bullish Views?</t>
        </is>
      </c>
      <c r="H189" s="3" t="inlineStr">
        <is>
          <t>https://finance.yahoo.com/news/worth-investing-prologis-pld-based-143003894.html?.tsrc=rss</t>
        </is>
      </c>
      <c r="I189" t="inlineStr">
        <is>
          <t>2026-02-19</t>
        </is>
      </c>
      <c r="J189" t="inlineStr">
        <is>
          <t>Is It Worth Investing in Prologis (PLD) Based on Wall Street. The recommendations of Wall Street analysts are often relied on by investors when decidi</t>
        </is>
      </c>
      <c r="K189" s="5" t="n">
        <v>0.3472</v>
      </c>
    </row>
    <row r="190">
      <c r="A190" t="inlineStr">
        <is>
          <t>XLRE</t>
        </is>
      </c>
      <c r="B190" t="inlineStr">
        <is>
          <t>Real Estate</t>
        </is>
      </c>
      <c r="C190" t="inlineStr">
        <is>
          <t>PLD</t>
        </is>
      </c>
      <c r="D190" t="inlineStr">
        <is>
          <t>Prologis Inc</t>
        </is>
      </c>
      <c r="E190" t="inlineStr">
        <is>
          <t>9.30</t>
        </is>
      </c>
      <c r="F190" t="inlineStr">
        <is>
          <t>Earnings</t>
        </is>
      </c>
      <c r="G190" t="inlineStr">
        <is>
          <t>The Bull Case For Prologis (PLD) Could Change Following Dividend Hike And Major Environmental Lawsui</t>
        </is>
      </c>
      <c r="H190" s="3" t="inlineStr">
        <is>
          <t>https://finance.yahoo.com/news/bull-case-prologis-pld-could-131025946.html?.tsrc=rss</t>
        </is>
      </c>
      <c r="I190" t="inlineStr">
        <is>
          <t>2026-02-19</t>
        </is>
      </c>
      <c r="J190" t="inlineStr">
        <is>
          <t>The Bull Case For Prologis (PLD) Could Change Following Divi. Earlier this month, Prologis' board approved a 6% increase in its annualized common divi</t>
        </is>
      </c>
      <c r="K190" s="5" t="n">
        <v>0.4393</v>
      </c>
    </row>
    <row r="191">
      <c r="A191" t="inlineStr">
        <is>
          <t>XLRE</t>
        </is>
      </c>
      <c r="B191" t="inlineStr">
        <is>
          <t>Real Estate</t>
        </is>
      </c>
      <c r="C191" t="inlineStr">
        <is>
          <t>AMT</t>
        </is>
      </c>
      <c r="D191" t="inlineStr">
        <is>
          <t>American Tower Corp</t>
        </is>
      </c>
      <c r="E191" t="inlineStr">
        <is>
          <t>6.43</t>
        </is>
      </c>
      <c r="F191" t="inlineStr">
        <is>
          <t>Earnings</t>
        </is>
      </c>
      <c r="G191" t="inlineStr">
        <is>
          <t>Ahead of American Tower (AMT) Q4 Earnings: Get Ready With Wall Street Estimates for Key Metrics</t>
        </is>
      </c>
      <c r="H191" s="3" t="inlineStr">
        <is>
          <t>https://finance.yahoo.com/news/ahead-american-tower-amt-q4-141507060.html?.tsrc=rss</t>
        </is>
      </c>
      <c r="I191" t="inlineStr">
        <is>
          <t>2026-02-19</t>
        </is>
      </c>
      <c r="J191" t="inlineStr">
        <is>
          <t>Ahead of American Tower (AMT) Q4 Earnings: Get Ready With Wa. Analysts on Wall Street project that American Tower (AMT) will announce quarterly earnin</t>
        </is>
      </c>
      <c r="K191" s="5" t="n">
        <v>0.3234</v>
      </c>
    </row>
    <row r="192">
      <c r="A192" t="inlineStr">
        <is>
          <t>XLRE</t>
        </is>
      </c>
      <c r="B192" t="inlineStr">
        <is>
          <t>Real Estate</t>
        </is>
      </c>
      <c r="C192" t="inlineStr">
        <is>
          <t>O</t>
        </is>
      </c>
      <c r="D192" t="inlineStr">
        <is>
          <t>Realty Income Corp</t>
        </is>
      </c>
      <c r="E192" t="inlineStr">
        <is>
          <t>4.72</t>
        </is>
      </c>
      <c r="F192" t="inlineStr">
        <is>
          <t>Earnings</t>
        </is>
      </c>
      <c r="G192" t="inlineStr">
        <is>
          <t>Realty Income vs. Regency Centers: Which Retail REIT Wins?</t>
        </is>
      </c>
      <c r="H192" s="3" t="inlineStr">
        <is>
          <t>https://finance.yahoo.com/news/realty-income-vs-regency-centers-174600270.html?.tsrc=rss</t>
        </is>
      </c>
      <c r="I192" t="inlineStr">
        <is>
          <t>2026-02-19</t>
        </is>
      </c>
      <c r="J192" t="inlineStr">
        <is>
          <t>Realty Income vs. Regency Centers: Which Retail REIT Wins?. Retail REIT investors looking for stability often narrow their search to two proven operat</t>
        </is>
      </c>
      <c r="K192" s="4" t="n">
        <v>0.511</v>
      </c>
    </row>
    <row r="193">
      <c r="A193" t="inlineStr">
        <is>
          <t>XLRE</t>
        </is>
      </c>
      <c r="B193" t="inlineStr">
        <is>
          <t>Real Estate</t>
        </is>
      </c>
      <c r="C193" t="inlineStr">
        <is>
          <t>O</t>
        </is>
      </c>
      <c r="D193" t="inlineStr">
        <is>
          <t>Realty Income Corp</t>
        </is>
      </c>
      <c r="E193" t="inlineStr">
        <is>
          <t>4.72</t>
        </is>
      </c>
      <c r="F193" t="inlineStr">
        <is>
          <t>Earnings</t>
        </is>
      </c>
      <c r="G193" t="inlineStr">
        <is>
          <t>Unlocking Q4 Potential of Realty Income Corp. (O): Exploring Wall Street Estimates for Key Metrics</t>
        </is>
      </c>
      <c r="H193" s="3" t="inlineStr">
        <is>
          <t>https://finance.yahoo.com/news/unlocking-q4-potential-realty-income-141505049.html?.tsrc=rss</t>
        </is>
      </c>
      <c r="I193" t="inlineStr">
        <is>
          <t>2026-02-19</t>
        </is>
      </c>
      <c r="J193" t="inlineStr">
        <is>
          <t>Unlocking Q4 Potential of Realty Income Corp. (O): Exploring. The upcoming report from Realty Income Corp. (O) is expected to reveal quarterly earning</t>
        </is>
      </c>
      <c r="K193" s="5" t="n">
        <v>0.4257</v>
      </c>
    </row>
    <row r="194">
      <c r="A194" t="inlineStr">
        <is>
          <t>XLRE</t>
        </is>
      </c>
      <c r="B194" t="inlineStr">
        <is>
          <t>Real Estate</t>
        </is>
      </c>
      <c r="C194" t="inlineStr">
        <is>
          <t>DLR</t>
        </is>
      </c>
      <c r="D194" t="inlineStr">
        <is>
          <t>Digital Realty Trust Inc</t>
        </is>
      </c>
      <c r="E194" t="inlineStr">
        <is>
          <t>4.55</t>
        </is>
      </c>
      <c r="F194" t="inlineStr">
        <is>
          <t>General</t>
        </is>
      </c>
      <c r="G194" t="inlineStr">
        <is>
          <t>Digital Realty Declares Quarterly Cash Dividends for Common and Preferred Stock</t>
        </is>
      </c>
      <c r="H194" s="3" t="inlineStr">
        <is>
          <t>https://finance.yahoo.com/news/digital-realty-declares-quarterly-cash-210500957.html?.tsrc=rss</t>
        </is>
      </c>
      <c r="I194" t="inlineStr">
        <is>
          <t>2026-02-19</t>
        </is>
      </c>
      <c r="J194" t="inlineStr">
        <is>
          <t xml:space="preserve">Digital Realty Declares Quarterly Cash Dividends for Common . 19, 2026 (GLOBE NEWSWIRE) -- Digital Realty (NYSE: DLR), the largest global provider of </t>
        </is>
      </c>
      <c r="K194" s="5" t="n">
        <v>0.2887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s="2" t="inlineStr">
        <is>
          <t>XLK</t>
        </is>
      </c>
      <c r="B196" s="2">
        <f>== TECHNOLOGY ===</f>
        <v/>
      </c>
      <c r="C196" s="2" t="inlineStr">
        <is>
          <t>Simple: 0.2986</t>
        </is>
      </c>
      <c r="D196" s="2" t="inlineStr">
        <is>
          <t>Weighted: 0.3002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</row>
    <row r="197">
      <c r="A197" t="inlineStr">
        <is>
          <t>XLK</t>
        </is>
      </c>
      <c r="B197" t="inlineStr">
        <is>
          <t>Technology</t>
        </is>
      </c>
      <c r="C197" t="inlineStr">
        <is>
          <t>NVDA</t>
        </is>
      </c>
      <c r="D197" t="inlineStr">
        <is>
          <t>NVIDIA Corp</t>
        </is>
      </c>
      <c r="E197" t="inlineStr">
        <is>
          <t>15.30</t>
        </is>
      </c>
      <c r="F197" t="inlineStr">
        <is>
          <t>Earnings</t>
        </is>
      </c>
      <c r="G197" t="inlineStr">
        <is>
          <t>3 Reasons NVIDIA Will Crush Earnings on February 25th</t>
        </is>
      </c>
      <c r="H197" s="3" t="inlineStr">
        <is>
          <t>https://247wallst.com/investing/2026/02/19/3-reasons-nvidia-will-crush-earnings-on-february-25th/?.tsrc=rss</t>
        </is>
      </c>
      <c r="I197" t="inlineStr">
        <is>
          <t>2026-02-19</t>
        </is>
      </c>
      <c r="J197" t="inlineStr">
        <is>
          <t>3 Reasons NVIDIA Will Crush Earnings on February 25th. NVIDIA (NASDAQ: NVDA | NVDA Price Prediction) reports fourth-quarter fiscal 2026 results on Feb</t>
        </is>
      </c>
      <c r="K197" s="4" t="n">
        <v>0.6259</v>
      </c>
    </row>
    <row r="198">
      <c r="A198" t="inlineStr">
        <is>
          <t>XLK</t>
        </is>
      </c>
      <c r="B198" t="inlineStr">
        <is>
          <t>Technology</t>
        </is>
      </c>
      <c r="C198" t="inlineStr">
        <is>
          <t>NVDA</t>
        </is>
      </c>
      <c r="D198" t="inlineStr">
        <is>
          <t>NVIDIA Corp</t>
        </is>
      </c>
      <c r="E198" t="inlineStr">
        <is>
          <t>15.30</t>
        </is>
      </c>
      <c r="F198" t="inlineStr">
        <is>
          <t>General</t>
        </is>
      </c>
      <c r="G198" t="inlineStr">
        <is>
          <t>This Blue-Collar Stock Out-Returned Nvidia Over the Past 5 Years. It Still Has Room to Grow.</t>
        </is>
      </c>
      <c r="H198" s="3" t="inlineStr">
        <is>
          <t>https://finance.yahoo.com/m/7c6f8d77-bfd5-33ca-9955-368f0aa1ab9f/this-blue-collar-stock.html?.tsrc=rss</t>
        </is>
      </c>
      <c r="I198" t="inlineStr">
        <is>
          <t>2026-02-19</t>
        </is>
      </c>
      <c r="J198" t="inlineStr">
        <is>
          <t>This Blue-Collar Stock Out-Returned Nvidia Over the Past 5 Y. Artificial-intelligence chip maker Nvidia has dominated the stock market conversation ov</t>
        </is>
      </c>
      <c r="K198" s="4" t="n">
        <v>0.5304</v>
      </c>
    </row>
    <row r="199">
      <c r="A199" t="inlineStr">
        <is>
          <t>XLK</t>
        </is>
      </c>
      <c r="B199" t="inlineStr">
        <is>
          <t>Technology</t>
        </is>
      </c>
      <c r="C199" t="inlineStr">
        <is>
          <t>NVDA</t>
        </is>
      </c>
      <c r="D199" t="inlineStr">
        <is>
          <t>NVIDIA Corp</t>
        </is>
      </c>
      <c r="E199" t="inlineStr">
        <is>
          <t>15.30</t>
        </is>
      </c>
      <c r="F199" t="inlineStr">
        <is>
          <t>Earnings</t>
        </is>
      </c>
      <c r="G199" t="inlineStr">
        <is>
          <t>Amazon Just Shared Great News for This AI Chipmaker (Hint: Not Nvidia)</t>
        </is>
      </c>
      <c r="H199" s="3" t="inlineStr">
        <is>
          <t>https://www.fool.com/investing/2026/02/19/amazon-great-news-ai-chipmakeker-nvda-mrvl/?.tsrc=rss</t>
        </is>
      </c>
      <c r="I199" t="inlineStr">
        <is>
          <t>2026-02-19</t>
        </is>
      </c>
      <c r="J199" t="inlineStr">
        <is>
          <t>Amazon Just Shared Great News for This AI Chipmaker (Hint: N. Amazon is spending $200 billion on AI data centers this year, and this company could rec</t>
        </is>
      </c>
      <c r="K199" s="4" t="n">
        <v>0.6675</v>
      </c>
    </row>
    <row r="200">
      <c r="A200" t="inlineStr">
        <is>
          <t>XLK</t>
        </is>
      </c>
      <c r="B200" t="inlineStr">
        <is>
          <t>Technology</t>
        </is>
      </c>
      <c r="C200" t="inlineStr">
        <is>
          <t>NVDA</t>
        </is>
      </c>
      <c r="D200" t="inlineStr">
        <is>
          <t>NVIDIA Corp</t>
        </is>
      </c>
      <c r="E200" t="inlineStr">
        <is>
          <t>15.30</t>
        </is>
      </c>
      <c r="F200" t="inlineStr">
        <is>
          <t>General</t>
        </is>
      </c>
      <c r="G200" t="inlineStr">
        <is>
          <t>Nvidia Dumped It, Cathie Wood Snapped It Up. This Pharma Stock Is Splitting Wall Street.</t>
        </is>
      </c>
      <c r="H200" s="3" t="inlineStr">
        <is>
          <t>https://finance.yahoo.com/m/3c27df9a-525f-3649-9fda-d56a76b7cbda/nvidia-dumped-it%2C-cathie-wood.html?.tsrc=rss</t>
        </is>
      </c>
      <c r="I200" t="inlineStr">
        <is>
          <t>2026-02-19</t>
        </is>
      </c>
      <c r="J200" t="inlineStr">
        <is>
          <t>Nvidia Dumped It, Cathie Wood Snapped It Up. This Pharma Sto. Nvidia sold its entire stake in a drug-discovery company at the end of last year. ARK In</t>
        </is>
      </c>
      <c r="K200" t="n">
        <v>-0.1359</v>
      </c>
    </row>
    <row r="201">
      <c r="A201" t="inlineStr">
        <is>
          <t>XLK</t>
        </is>
      </c>
      <c r="B201" t="inlineStr">
        <is>
          <t>Technology</t>
        </is>
      </c>
      <c r="C201" t="inlineStr">
        <is>
          <t>NVDA</t>
        </is>
      </c>
      <c r="D201" t="inlineStr">
        <is>
          <t>NVIDIA Corp</t>
        </is>
      </c>
      <c r="E201" t="inlineStr">
        <is>
          <t>15.30</t>
        </is>
      </c>
      <c r="F201" t="inlineStr">
        <is>
          <t>Earnings</t>
        </is>
      </c>
      <c r="G201" t="inlineStr">
        <is>
          <t>Nvidia’s Intel Stake Recasts AI Alliance And Data Center Rivalry</t>
        </is>
      </c>
      <c r="H201" s="3" t="inlineStr">
        <is>
          <t>https://finance.yahoo.com/news/nvidia-intel-stake-recasts-ai-211003740.html?.tsrc=rss</t>
        </is>
      </c>
      <c r="I201" t="inlineStr">
        <is>
          <t>2026-02-19</t>
        </is>
      </c>
      <c r="J201" t="inlineStr">
        <is>
          <t>Nvidia’s Intel Stake Recasts AI Alliance And Data Center Riv. Never miss an important update on your stock portfolio and cut through the noise. Over 7</t>
        </is>
      </c>
      <c r="K201" s="4" t="n">
        <v>0.5031</v>
      </c>
    </row>
    <row r="202">
      <c r="A202" t="inlineStr">
        <is>
          <t>XLK</t>
        </is>
      </c>
      <c r="B202" t="inlineStr">
        <is>
          <t>Technology</t>
        </is>
      </c>
      <c r="C202" t="inlineStr">
        <is>
          <t>NVDA</t>
        </is>
      </c>
      <c r="D202" t="inlineStr">
        <is>
          <t>NVIDIA Corp</t>
        </is>
      </c>
      <c r="E202" t="inlineStr">
        <is>
          <t>15.30</t>
        </is>
      </c>
      <c r="F202" t="inlineStr">
        <is>
          <t>Product</t>
        </is>
      </c>
      <c r="G202" t="inlineStr">
        <is>
          <t xml:space="preserve">Unveiling NVIDIA Solution Center: Grid Dynamics’ Family of AI Solutions to Cut Costs for Retail and </t>
        </is>
      </c>
      <c r="H202" s="3" t="inlineStr">
        <is>
          <t>https://finance.yahoo.com/news/unveiling-nvidia-solution-center-grid-210500411.html?.tsrc=rss</t>
        </is>
      </c>
      <c r="I202" t="inlineStr">
        <is>
          <t>2026-02-19</t>
        </is>
      </c>
      <c r="J202" t="inlineStr">
        <is>
          <t>Unveiling NVIDIA Solution Center: Grid Dynamics’ Family of A. Key Takeaways: Enables enterprises to replace high-cost and recurring SaaS licensing fee</t>
        </is>
      </c>
      <c r="K202" s="4" t="n">
        <v>0.5439000000000001</v>
      </c>
    </row>
    <row r="203">
      <c r="A203" t="inlineStr">
        <is>
          <t>XLK</t>
        </is>
      </c>
      <c r="B203" t="inlineStr">
        <is>
          <t>Technology</t>
        </is>
      </c>
      <c r="C203" t="inlineStr">
        <is>
          <t>NVDA</t>
        </is>
      </c>
      <c r="D203" t="inlineStr">
        <is>
          <t>NVIDIA Corp</t>
        </is>
      </c>
      <c r="E203" t="inlineStr">
        <is>
          <t>15.30</t>
        </is>
      </c>
      <c r="F203" t="inlineStr">
        <is>
          <t>Earnings</t>
        </is>
      </c>
      <c r="G203" t="inlineStr">
        <is>
          <t>Today in tech: OpenAI's new funding, Nvidia comes for AMD &amp; Intel</t>
        </is>
      </c>
      <c r="H203" s="3" t="inlineStr">
        <is>
          <t>https://finance.yahoo.com/video/today-tech-openais-funding-nvidia-205920523.html?.tsrc=rss</t>
        </is>
      </c>
      <c r="I203" t="inlineStr">
        <is>
          <t>2026-02-19</t>
        </is>
      </c>
      <c r="J203" t="inlineStr">
        <is>
          <t xml:space="preserve">Today in tech: OpenAI's new funding, Nvidia comes for AMD &amp; . Yahoo Finance Tech Editor Dan Howley comes on Market Domination to break down the day's </t>
        </is>
      </c>
      <c r="K203" s="5" t="n">
        <v>0.4714</v>
      </c>
    </row>
    <row r="204">
      <c r="A204" t="inlineStr">
        <is>
          <t>XLK</t>
        </is>
      </c>
      <c r="B204" t="inlineStr">
        <is>
          <t>Technology</t>
        </is>
      </c>
      <c r="C204" t="inlineStr">
        <is>
          <t>NVDA</t>
        </is>
      </c>
      <c r="D204" t="inlineStr">
        <is>
          <t>NVIDIA Corp</t>
        </is>
      </c>
      <c r="E204" t="inlineStr">
        <is>
          <t>15.30</t>
        </is>
      </c>
      <c r="F204" t="inlineStr">
        <is>
          <t>General</t>
        </is>
      </c>
      <c r="G204" t="inlineStr">
        <is>
          <t>Nvidia CEO shocks AI community over the one thing he didn’t do</t>
        </is>
      </c>
      <c r="H204" s="3" t="inlineStr">
        <is>
          <t>https://www.thestreet.com/investing/nvidia-ceo-shocks-ai-community-over-the-one-thing-he-didnt-do?.tsrc=rss</t>
        </is>
      </c>
      <c r="I204" t="inlineStr">
        <is>
          <t>2026-02-19</t>
        </is>
      </c>
      <c r="J204" t="inlineStr">
        <is>
          <t>Nvidia CEO shocks AI community over the one thing he didn’t . Nvidia (NVDA) rarely missteps. But this time, the chip giant made a big mistake, namely,</t>
        </is>
      </c>
      <c r="K204" s="6" t="n">
        <v>-0.5766</v>
      </c>
    </row>
    <row r="205">
      <c r="A205" t="inlineStr">
        <is>
          <t>XLK</t>
        </is>
      </c>
      <c r="B205" t="inlineStr">
        <is>
          <t>Technology</t>
        </is>
      </c>
      <c r="C205" t="inlineStr">
        <is>
          <t>AAPL</t>
        </is>
      </c>
      <c r="D205" t="inlineStr">
        <is>
          <t>Apple Inc</t>
        </is>
      </c>
      <c r="E205" t="inlineStr">
        <is>
          <t>12.63</t>
        </is>
      </c>
      <c r="F205" t="inlineStr">
        <is>
          <t>Earnings</t>
        </is>
      </c>
      <c r="G205" t="inlineStr">
        <is>
          <t>Dan Ives Says Apple's AI Alone Could Be Worth $1.5 Trillion — And Almost No One Is Pricing It In</t>
        </is>
      </c>
      <c r="H205" s="3" t="inlineStr">
        <is>
          <t>https://finance.yahoo.com/news/dan-ives-says-apples-ai-223207379.html?.tsrc=rss</t>
        </is>
      </c>
      <c r="I205" t="inlineStr">
        <is>
          <t>2026-02-19</t>
        </is>
      </c>
      <c r="J205" t="inlineStr">
        <is>
          <t xml:space="preserve">Dan Ives Says Apple's AI Alone Could Be Worth $1.5 Trillion . Apple Inc's (NASDAQ:AAPL) next trillion dollars of market value may not come from a new </t>
        </is>
      </c>
      <c r="K205" s="5" t="n">
        <v>0.4482</v>
      </c>
    </row>
    <row r="206">
      <c r="A206" t="inlineStr">
        <is>
          <t>XLK</t>
        </is>
      </c>
      <c r="B206" t="inlineStr">
        <is>
          <t>Technology</t>
        </is>
      </c>
      <c r="C206" t="inlineStr">
        <is>
          <t>AAPL</t>
        </is>
      </c>
      <c r="D206" t="inlineStr">
        <is>
          <t>Apple Inc</t>
        </is>
      </c>
      <c r="E206" t="inlineStr">
        <is>
          <t>12.63</t>
        </is>
      </c>
      <c r="F206" t="inlineStr">
        <is>
          <t>Regulatory</t>
        </is>
      </c>
      <c r="G206" t="inlineStr">
        <is>
          <t>West Virginia Attorney General’s Lawsuit Alleges Apple’s iCloud Allows for Distribution of Child Por</t>
        </is>
      </c>
      <c r="H206" s="3" t="inlineStr">
        <is>
          <t>https://finance.yahoo.com/m/ecd6b418-dd1b-31e7-a73d-8b28e24e3768/west-virginia-attorney.html?.tsrc=rss</t>
        </is>
      </c>
      <c r="I206" t="inlineStr">
        <is>
          <t>2026-02-19</t>
        </is>
      </c>
      <c r="J206" t="inlineStr">
        <is>
          <t>West Virginia Attorney General’s Lawsuit Alleges Apple’s iCl. The lawsuit said the platform made it easier to maintain and repeatedly access large col</t>
        </is>
      </c>
      <c r="K206" s="7" t="n">
        <v>-0.2273</v>
      </c>
    </row>
    <row r="207">
      <c r="A207" t="inlineStr">
        <is>
          <t>XLK</t>
        </is>
      </c>
      <c r="B207" t="inlineStr">
        <is>
          <t>Technology</t>
        </is>
      </c>
      <c r="C207" t="inlineStr">
        <is>
          <t>AAPL</t>
        </is>
      </c>
      <c r="D207" t="inlineStr">
        <is>
          <t>Apple Inc</t>
        </is>
      </c>
      <c r="E207" t="inlineStr">
        <is>
          <t>12.63</t>
        </is>
      </c>
      <c r="F207" t="inlineStr">
        <is>
          <t>General</t>
        </is>
      </c>
      <c r="G207" t="inlineStr">
        <is>
          <t>Apple TV partners with EverPass Media to bring sports lineup to bars, hotels</t>
        </is>
      </c>
      <c r="H207" s="3" t="inlineStr">
        <is>
          <t>https://finance.yahoo.com/news/apple-tv-partners-everpass-media-190955633.html?.tsrc=rss</t>
        </is>
      </c>
      <c r="I207" t="inlineStr">
        <is>
          <t>2026-02-19</t>
        </is>
      </c>
      <c r="J207" t="inlineStr">
        <is>
          <t>Apple TV partners with EverPass Media to bring sports lineup. Feb 19 (Reuters) - Apple TV (AAPL) has signed a distribution agreement with EverPass Med</t>
        </is>
      </c>
      <c r="K207" s="4" t="n">
        <v>0.6613</v>
      </c>
    </row>
    <row r="208">
      <c r="A208" t="inlineStr">
        <is>
          <t>XLK</t>
        </is>
      </c>
      <c r="B208" t="inlineStr">
        <is>
          <t>Technology</t>
        </is>
      </c>
      <c r="C208" t="inlineStr">
        <is>
          <t>AAPL</t>
        </is>
      </c>
      <c r="D208" t="inlineStr">
        <is>
          <t>Apple Inc</t>
        </is>
      </c>
      <c r="E208" t="inlineStr">
        <is>
          <t>12.63</t>
        </is>
      </c>
      <c r="F208" t="inlineStr">
        <is>
          <t>Earnings</t>
        </is>
      </c>
      <c r="G208" t="inlineStr">
        <is>
          <t>EverPass Media and Apple Announce Distribution Agreement Bringing Apple TV Sports to Commercial Venu</t>
        </is>
      </c>
      <c r="H208" s="3" t="inlineStr">
        <is>
          <t>https://finance.yahoo.com/news/everpass-media-apple-announce-distribution-170000386.html?.tsrc=rss</t>
        </is>
      </c>
      <c r="I208" t="inlineStr">
        <is>
          <t>2026-02-19</t>
        </is>
      </c>
      <c r="J208" t="inlineStr">
        <is>
          <t>EverPass Media and Apple Announce Distribution Agreement Bri. NEW YORK, February 19, 2026--(BUSINESS WIRE)--EverPass Media ("EverPass"), the premier m</t>
        </is>
      </c>
      <c r="K208" s="4" t="n">
        <v>0.6314</v>
      </c>
    </row>
    <row r="209">
      <c r="A209" t="inlineStr">
        <is>
          <t>XLK</t>
        </is>
      </c>
      <c r="B209" t="inlineStr">
        <is>
          <t>Technology</t>
        </is>
      </c>
      <c r="C209" t="inlineStr">
        <is>
          <t>AAPL</t>
        </is>
      </c>
      <c r="D209" t="inlineStr">
        <is>
          <t>Apple Inc</t>
        </is>
      </c>
      <c r="E209" t="inlineStr">
        <is>
          <t>12.63</t>
        </is>
      </c>
      <c r="F209" t="inlineStr">
        <is>
          <t>Earnings</t>
        </is>
      </c>
      <c r="G209" t="inlineStr">
        <is>
          <t>Apple’s AI Wearables Push Extends Ecosystem Beyond Core Devices</t>
        </is>
      </c>
      <c r="H209" s="3" t="inlineStr">
        <is>
          <t>https://finance.yahoo.com/news/apple-ai-wearables-push-extends-160956914.html?.tsrc=rss</t>
        </is>
      </c>
      <c r="I209" t="inlineStr">
        <is>
          <t>2026-02-19</t>
        </is>
      </c>
      <c r="J209" t="inlineStr">
        <is>
          <t xml:space="preserve">Apple’s AI Wearables Push Extends Ecosystem Beyond Core Devi. Make better investment decisions with Simply Wall St's easy, visual tools that give you </t>
        </is>
      </c>
      <c r="K209" s="5" t="n">
        <v>0.4925</v>
      </c>
    </row>
    <row r="210">
      <c r="A210" t="inlineStr">
        <is>
          <t>XLK</t>
        </is>
      </c>
      <c r="B210" t="inlineStr">
        <is>
          <t>Technology</t>
        </is>
      </c>
      <c r="C210" t="inlineStr">
        <is>
          <t>AAPL</t>
        </is>
      </c>
      <c r="D210" t="inlineStr">
        <is>
          <t>Apple Inc</t>
        </is>
      </c>
      <c r="E210" t="inlineStr">
        <is>
          <t>12.63</t>
        </is>
      </c>
      <c r="F210" t="inlineStr">
        <is>
          <t>Earnings</t>
        </is>
      </c>
      <c r="G210" t="inlineStr">
        <is>
          <t>AI Stocks Reset In 2026. What's Next For Apple, Nvidia, Google And Microsoft?</t>
        </is>
      </c>
      <c r="H210" s="3" t="inlineStr">
        <is>
          <t>https://finance.yahoo.com/m/b737a784-6158-3aaa-8a79-35cd387aaa25/ai-stocks-reset-in-2026..html?.tsrc=rss</t>
        </is>
      </c>
      <c r="I210" t="inlineStr">
        <is>
          <t>2026-02-19</t>
        </is>
      </c>
      <c r="J210" t="inlineStr">
        <is>
          <t>AI Stocks Reset In 2026. What's Next For Apple, Nvidia, Goog. AI stocks have been volatile. Nvidia earnings and GTC conference are on tap</t>
        </is>
      </c>
      <c r="K210" s="6" t="n">
        <v>-0.5993000000000001</v>
      </c>
    </row>
    <row r="211">
      <c r="A211" t="inlineStr">
        <is>
          <t>XLK</t>
        </is>
      </c>
      <c r="B211" t="inlineStr">
        <is>
          <t>Technology</t>
        </is>
      </c>
      <c r="C211" t="inlineStr">
        <is>
          <t>AAPL</t>
        </is>
      </c>
      <c r="D211" t="inlineStr">
        <is>
          <t>Apple Inc</t>
        </is>
      </c>
      <c r="E211" t="inlineStr">
        <is>
          <t>12.63</t>
        </is>
      </c>
      <c r="F211" t="inlineStr">
        <is>
          <t>Product</t>
        </is>
      </c>
      <c r="G211" t="inlineStr">
        <is>
          <t>Badge Raises $17.1 Million to Make Apple and Google Wallets the Next Major Customer Interface</t>
        </is>
      </c>
      <c r="H211" s="3" t="inlineStr">
        <is>
          <t>https://finance.yahoo.com/news/badge-raises-17-1-million-140500733.html?.tsrc=rss</t>
        </is>
      </c>
      <c r="I211" t="inlineStr">
        <is>
          <t>2026-02-19</t>
        </is>
      </c>
      <c r="J211" t="inlineStr">
        <is>
          <t>Badge Raises $17.1 Million to Make Apple and Google Wallets . New funding from TTV Capital, Stripe, QED Investors, Infinity Ventures, and Synchrony Ve</t>
        </is>
      </c>
      <c r="K211" s="5" t="n">
        <v>0.3887</v>
      </c>
    </row>
    <row r="212">
      <c r="A212" t="inlineStr">
        <is>
          <t>XLK</t>
        </is>
      </c>
      <c r="B212" t="inlineStr">
        <is>
          <t>Technology</t>
        </is>
      </c>
      <c r="C212" t="inlineStr">
        <is>
          <t>AAPL</t>
        </is>
      </c>
      <c r="D212" t="inlineStr">
        <is>
          <t>Apple Inc</t>
        </is>
      </c>
      <c r="E212" t="inlineStr">
        <is>
          <t>12.63</t>
        </is>
      </c>
      <c r="F212" t="inlineStr">
        <is>
          <t>Earnings</t>
        </is>
      </c>
      <c r="G212" t="inlineStr">
        <is>
          <t>Ignore the Panic and Keep Buying Apple Stock, According to Wedbush</t>
        </is>
      </c>
      <c r="H212" s="3" t="inlineStr">
        <is>
          <t>https://www.barchart.com/story/news/304331/ignore-the-panic-and-keep-buying-apple-stock-according-to-wedbush?.tsrc=rss</t>
        </is>
      </c>
      <c r="I212" t="inlineStr">
        <is>
          <t>2026-02-19</t>
        </is>
      </c>
      <c r="J212" t="inlineStr">
        <is>
          <t xml:space="preserve">Ignore the Panic and Keep Buying Apple Stock, According to W. All information and data in this article is solely for informational purposes. For more </t>
        </is>
      </c>
      <c r="K212" t="n">
        <v>-0.0824</v>
      </c>
    </row>
    <row r="213">
      <c r="A213" t="inlineStr">
        <is>
          <t>XLK</t>
        </is>
      </c>
      <c r="B213" t="inlineStr">
        <is>
          <t>Technology</t>
        </is>
      </c>
      <c r="C213" t="inlineStr">
        <is>
          <t>AAPL</t>
        </is>
      </c>
      <c r="D213" t="inlineStr">
        <is>
          <t>Apple Inc</t>
        </is>
      </c>
      <c r="E213" t="inlineStr">
        <is>
          <t>12.63</t>
        </is>
      </c>
      <c r="F213" t="inlineStr">
        <is>
          <t>General</t>
        </is>
      </c>
      <c r="G213" t="inlineStr">
        <is>
          <t>United States Gift Card Business and Investment Report 2026: A 320+ Billion Market by 2030 Featuring</t>
        </is>
      </c>
      <c r="H213" s="3" t="inlineStr">
        <is>
          <t>https://finance.yahoo.com/news/united-states-gift-card-business-122100483.html?.tsrc=rss</t>
        </is>
      </c>
      <c r="I213" t="inlineStr">
        <is>
          <t>2026-02-19</t>
        </is>
      </c>
      <c r="J213" t="inlineStr">
        <is>
          <t>United States Gift Card Business and Investment Report 2026:. The US gift card market offers opportunities in four main areas: repositioning gift card</t>
        </is>
      </c>
      <c r="K213" s="5" t="n">
        <v>0.4111</v>
      </c>
    </row>
    <row r="214">
      <c r="A214" t="inlineStr">
        <is>
          <t>XLK</t>
        </is>
      </c>
      <c r="B214" t="inlineStr">
        <is>
          <t>Technology</t>
        </is>
      </c>
      <c r="C214" t="inlineStr">
        <is>
          <t>AAPL</t>
        </is>
      </c>
      <c r="D214" t="inlineStr">
        <is>
          <t>Apple Inc</t>
        </is>
      </c>
      <c r="E214" t="inlineStr">
        <is>
          <t>12.63</t>
        </is>
      </c>
      <c r="F214" t="inlineStr">
        <is>
          <t>Product</t>
        </is>
      </c>
      <c r="G214" t="inlineStr">
        <is>
          <t>Sleep Aids: Trends, Technologies and Global Markets to 2030 Featuring Key Players Fisher &amp; Paykel He</t>
        </is>
      </c>
      <c r="H214" s="3" t="inlineStr">
        <is>
          <t>https://finance.yahoo.com/news/sleep-aids-trends-technologies-global-114500365.html?.tsrc=rss</t>
        </is>
      </c>
      <c r="I214" t="inlineStr">
        <is>
          <t>2026-02-19</t>
        </is>
      </c>
      <c r="J214" t="inlineStr">
        <is>
          <t>Sleep Aids: Trends, Technologies and Global Markets to 2030 . Growth is driven by rising disposable incomes, wellness trends, and demand for personali</t>
        </is>
      </c>
      <c r="K214" s="4" t="n">
        <v>0.6085</v>
      </c>
    </row>
    <row r="215">
      <c r="A215" t="inlineStr">
        <is>
          <t>XLK</t>
        </is>
      </c>
      <c r="B215" t="inlineStr">
        <is>
          <t>Technology</t>
        </is>
      </c>
      <c r="C215" t="inlineStr">
        <is>
          <t>MSFT</t>
        </is>
      </c>
      <c r="D215" t="inlineStr">
        <is>
          <t>Microsoft Corp</t>
        </is>
      </c>
      <c r="E215" t="inlineStr">
        <is>
          <t>10.54</t>
        </is>
      </c>
      <c r="F215" t="inlineStr">
        <is>
          <t>Earnings</t>
        </is>
      </c>
      <c r="G215" t="inlineStr">
        <is>
          <t>Microsoft Drives 26% Of Arista Revenue</t>
        </is>
      </c>
      <c r="H215" s="3" t="inlineStr">
        <is>
          <t>https://finance.yahoo.com/news/microsoft-drives-26-arista-revenue-185939497.html?.tsrc=rss</t>
        </is>
      </c>
      <c r="I215" t="inlineStr">
        <is>
          <t>2026-02-19</t>
        </is>
      </c>
      <c r="J215" t="inlineStr">
        <is>
          <t>Microsoft Drives 26% Of Arista Revenue. This article first appeared on GuruFocus. Arista Networks (NYSE:ANET) may be more tied to Microsoft (NASDAQ:MS</t>
        </is>
      </c>
      <c r="K215" s="4" t="n">
        <v>0.6055</v>
      </c>
    </row>
    <row r="216">
      <c r="A216" t="inlineStr">
        <is>
          <t>XLK</t>
        </is>
      </c>
      <c r="B216" t="inlineStr">
        <is>
          <t>Technology</t>
        </is>
      </c>
      <c r="C216" t="inlineStr">
        <is>
          <t>MSFT</t>
        </is>
      </c>
      <c r="D216" t="inlineStr">
        <is>
          <t>Microsoft Corp</t>
        </is>
      </c>
      <c r="E216" t="inlineStr">
        <is>
          <t>10.54</t>
        </is>
      </c>
      <c r="F216" t="inlineStr">
        <is>
          <t>General</t>
        </is>
      </c>
      <c r="G216" t="inlineStr">
        <is>
          <t>Microsoft Stock: This Butterfly Trade Offers Bullish Exposure And Big Payoff Potential</t>
        </is>
      </c>
      <c r="H216" s="3" t="inlineStr">
        <is>
          <t>https://finance.yahoo.com/m/5075c0e8-769d-3b96-b6c0-973137f28d2e/microsoft-stock%3A-this.html?.tsrc=rss</t>
        </is>
      </c>
      <c r="I216" t="inlineStr">
        <is>
          <t>2026-02-19</t>
        </is>
      </c>
      <c r="J216" t="inlineStr">
        <is>
          <t>Microsoft Stock: This Butterfly Trade Offers Bullish Exposur. Microsoft stock has struggled but still has Big Money support. This butterfly options tr</t>
        </is>
      </c>
      <c r="K216" s="5" t="n">
        <v>0.3984</v>
      </c>
    </row>
    <row r="217">
      <c r="A217" t="inlineStr">
        <is>
          <t>XLK</t>
        </is>
      </c>
      <c r="B217" t="inlineStr">
        <is>
          <t>Technology</t>
        </is>
      </c>
      <c r="C217" t="inlineStr">
        <is>
          <t>MSFT</t>
        </is>
      </c>
      <c r="D217" t="inlineStr">
        <is>
          <t>Microsoft Corp</t>
        </is>
      </c>
      <c r="E217" t="inlineStr">
        <is>
          <t>10.54</t>
        </is>
      </c>
      <c r="F217" t="inlineStr">
        <is>
          <t>General</t>
        </is>
      </c>
      <c r="G217" t="inlineStr">
        <is>
          <t>Down 15%, Should You Buy the Dip on Microsoft?</t>
        </is>
      </c>
      <c r="H217" s="3" t="inlineStr">
        <is>
          <t>https://www.fool.com/investing/2026/02/19/down-15-should-you-buy-the-dip-on-microsoft/?.tsrc=rss</t>
        </is>
      </c>
      <c r="I217" t="inlineStr">
        <is>
          <t>2026-02-19</t>
        </is>
      </c>
      <c r="J217" t="inlineStr">
        <is>
          <t>Down 15%, Should You Buy the Dip on Microsoft?. It remains one of the safer bets you can make in the tech world</t>
        </is>
      </c>
      <c r="K217" s="7" t="n">
        <v>-0.3808</v>
      </c>
    </row>
    <row r="218">
      <c r="A218" t="inlineStr">
        <is>
          <t>XLK</t>
        </is>
      </c>
      <c r="B218" t="inlineStr">
        <is>
          <t>Technology</t>
        </is>
      </c>
      <c r="C218" t="inlineStr">
        <is>
          <t>AVGO</t>
        </is>
      </c>
      <c r="D218" t="inlineStr">
        <is>
          <t>Broadcom Inc</t>
        </is>
      </c>
      <c r="E218" t="inlineStr">
        <is>
          <t>5.15</t>
        </is>
      </c>
      <c r="F218" t="inlineStr">
        <is>
          <t>Earnings</t>
        </is>
      </c>
      <c r="G218" t="inlineStr">
        <is>
          <t>Broadcom Stock Isn't Cheap. Why Bulls Still See Room to Run</t>
        </is>
      </c>
      <c r="H218" s="3" t="inlineStr">
        <is>
          <t>https://finance.yahoo.com/news/broadcom-stock-isnt-cheap-why-143732580.html?.tsrc=rss</t>
        </is>
      </c>
      <c r="I218" t="inlineStr">
        <is>
          <t>2026-02-19</t>
        </is>
      </c>
      <c r="J218" t="inlineStr">
        <is>
          <t>Broadcom Stock Isn't Cheap. Why Bulls Still See Room to Run. This article first appeared on GuruFocus. Broadcom (NASDAQ:AVGO) has a track record of ra</t>
        </is>
      </c>
      <c r="K218" s="4" t="n">
        <v>0.6236</v>
      </c>
    </row>
    <row r="219">
      <c r="A219" t="inlineStr">
        <is>
          <t>XLK</t>
        </is>
      </c>
      <c r="B219" t="inlineStr">
        <is>
          <t>Technology</t>
        </is>
      </c>
      <c r="C219" t="inlineStr">
        <is>
          <t>AVGO</t>
        </is>
      </c>
      <c r="D219" t="inlineStr">
        <is>
          <t>Broadcom Inc</t>
        </is>
      </c>
      <c r="E219" t="inlineStr">
        <is>
          <t>5.15</t>
        </is>
      </c>
      <c r="F219" t="inlineStr">
        <is>
          <t>Product</t>
        </is>
      </c>
      <c r="G219" t="inlineStr">
        <is>
          <t>Broadcom Introduces Industry’s First 6G Digital Front-End SoC for Massive MIMO</t>
        </is>
      </c>
      <c r="H219" s="3" t="inlineStr">
        <is>
          <t>https://finance.yahoo.com/news/broadcom-introduces-industry-first-6g-140000591.html?.tsrc=rss</t>
        </is>
      </c>
      <c r="I219" t="inlineStr">
        <is>
          <t>2026-02-19</t>
        </is>
      </c>
      <c r="J219" t="inlineStr">
        <is>
          <t>Broadcom Introduces Industry’s First 6G Digital Front-End So. 5GHz CMOS radio digital front-end solution delivers breakthrough RF performance and powe</t>
        </is>
      </c>
      <c r="K219" s="4" t="n">
        <v>0.6229</v>
      </c>
    </row>
    <row r="220">
      <c r="A220" t="inlineStr">
        <is>
          <t>XLK</t>
        </is>
      </c>
      <c r="B220" t="inlineStr">
        <is>
          <t>Technology</t>
        </is>
      </c>
      <c r="C220" t="inlineStr">
        <is>
          <t>MU</t>
        </is>
      </c>
      <c r="D220" t="inlineStr">
        <is>
          <t>Micron Technology Inc</t>
        </is>
      </c>
      <c r="E220" t="inlineStr">
        <is>
          <t>4.00</t>
        </is>
      </c>
      <c r="F220" t="inlineStr">
        <is>
          <t>Earnings</t>
        </is>
      </c>
      <c r="G220" t="inlineStr">
        <is>
          <t>Micron &amp; 2 More Profitable Stocks to Buy Now for Big Gains</t>
        </is>
      </c>
      <c r="H220" s="3" t="inlineStr">
        <is>
          <t>https://finance.yahoo.com/news/micron-2-more-profitable-stocks-200000245.html?.tsrc=rss</t>
        </is>
      </c>
      <c r="I220" t="inlineStr">
        <is>
          <t>2026-02-19</t>
        </is>
      </c>
      <c r="J220" t="inlineStr">
        <is>
          <t>Micron &amp; 2 More Profitable Stocks to Buy Now for Big Gains. Investors should prioritize companies that generate strong returns after accounting for op</t>
        </is>
      </c>
      <c r="K220" s="5" t="n">
        <v>0.4087</v>
      </c>
    </row>
    <row r="221">
      <c r="A221" t="inlineStr">
        <is>
          <t>XLK</t>
        </is>
      </c>
      <c r="B221" t="inlineStr">
        <is>
          <t>Technology</t>
        </is>
      </c>
      <c r="C221" t="inlineStr">
        <is>
          <t>MU</t>
        </is>
      </c>
      <c r="D221" t="inlineStr">
        <is>
          <t>Micron Technology Inc</t>
        </is>
      </c>
      <c r="E221" t="inlineStr">
        <is>
          <t>4.00</t>
        </is>
      </c>
      <c r="F221" t="inlineStr">
        <is>
          <t>Earnings</t>
        </is>
      </c>
      <c r="G221" t="inlineStr">
        <is>
          <t>Micron Technology Faces Valuation Test After AI-Driven Surge</t>
        </is>
      </c>
      <c r="H221" s="3" t="inlineStr">
        <is>
          <t>https://finance.yahoo.com/news/micron-technology-faces-valuation-test-191407949.html?.tsrc=rss</t>
        </is>
      </c>
      <c r="I221" t="inlineStr">
        <is>
          <t>2026-02-19</t>
        </is>
      </c>
      <c r="J221" t="inlineStr">
        <is>
          <t xml:space="preserve">Micron Technology Faces Valuation Test After AI-Driven Surge. This article first appeared on GuruFocus. Micron Technology (MU, Financials) is drawing </t>
        </is>
      </c>
      <c r="K221" s="4" t="n">
        <v>0.5115</v>
      </c>
    </row>
    <row r="222">
      <c r="A222" t="inlineStr">
        <is>
          <t>XLK</t>
        </is>
      </c>
      <c r="B222" t="inlineStr">
        <is>
          <t>Technology</t>
        </is>
      </c>
      <c r="C222" t="inlineStr">
        <is>
          <t>MU</t>
        </is>
      </c>
      <c r="D222" t="inlineStr">
        <is>
          <t>Micron Technology Inc</t>
        </is>
      </c>
      <c r="E222" t="inlineStr">
        <is>
          <t>4.00</t>
        </is>
      </c>
      <c r="F222" t="inlineStr">
        <is>
          <t>Product</t>
        </is>
      </c>
      <c r="G222" t="inlineStr">
        <is>
          <t>Lam Research Boise Expansion Deepens Micron Ties In AI Memory Cycle</t>
        </is>
      </c>
      <c r="H222" s="3" t="inlineStr">
        <is>
          <t>https://finance.yahoo.com/news/lam-research-boise-expansion-deepens-190814491.html?.tsrc=rss</t>
        </is>
      </c>
      <c r="I222" t="inlineStr">
        <is>
          <t>2026-02-19</t>
        </is>
      </c>
      <c r="J222" t="inlineStr">
        <is>
          <t xml:space="preserve">Lam Research Boise Expansion Deepens Micron Ties In AI Memor. Make better investment decisions with Simply Wall St's easy, visual tools that give you </t>
        </is>
      </c>
      <c r="K222" s="4" t="n">
        <v>0.5926</v>
      </c>
    </row>
    <row r="223">
      <c r="A223" t="inlineStr">
        <is>
          <t>XLK</t>
        </is>
      </c>
      <c r="B223" t="inlineStr">
        <is>
          <t>Technology</t>
        </is>
      </c>
      <c r="C223" t="inlineStr">
        <is>
          <t>MU</t>
        </is>
      </c>
      <c r="D223" t="inlineStr">
        <is>
          <t>Micron Technology Inc</t>
        </is>
      </c>
      <c r="E223" t="inlineStr">
        <is>
          <t>4.00</t>
        </is>
      </c>
      <c r="F223" t="inlineStr">
        <is>
          <t>Earnings</t>
        </is>
      </c>
      <c r="G223" t="inlineStr">
        <is>
          <t>Micron Stock: With Valuation Still Attractive, MU Could Reach $500 by 2026</t>
        </is>
      </c>
      <c r="H223" s="3" t="inlineStr">
        <is>
          <t>https://www.barchart.com/story/news/308988/micron-stock-with-valuation-still-attractive-mu-could-reach-500-by-2026?.tsrc=rss</t>
        </is>
      </c>
      <c r="I223" t="inlineStr">
        <is>
          <t>2026-02-19</t>
        </is>
      </c>
      <c r="J223" t="inlineStr">
        <is>
          <t xml:space="preserve">Micron Stock: With Valuation Still Attractive, MU Could Reac. All information and data in this article is solely for informational purposes. For more </t>
        </is>
      </c>
      <c r="K223" s="4" t="n">
        <v>0.8715000000000001</v>
      </c>
    </row>
    <row r="224">
      <c r="A224" t="inlineStr">
        <is>
          <t>XLK</t>
        </is>
      </c>
      <c r="B224" t="inlineStr">
        <is>
          <t>Technology</t>
        </is>
      </c>
      <c r="C224" t="inlineStr">
        <is>
          <t>MU</t>
        </is>
      </c>
      <c r="D224" t="inlineStr">
        <is>
          <t>Micron Technology Inc</t>
        </is>
      </c>
      <c r="E224" t="inlineStr">
        <is>
          <t>4.00</t>
        </is>
      </c>
      <c r="F224" t="inlineStr">
        <is>
          <t>General</t>
        </is>
      </c>
      <c r="G224" t="inlineStr">
        <is>
          <t>Samsung Rises on Report of Higher AI Memory Prices. Why Micron Stock Is Falling.</t>
        </is>
      </c>
      <c r="H224" s="3" t="inlineStr">
        <is>
          <t>https://finance.yahoo.com/m/77747067-afe2-33a2-95d2-45b994ff0991/samsung-rises-on-report-of.html?.tsrc=rss</t>
        </is>
      </c>
      <c r="I224" t="inlineStr">
        <is>
          <t>2026-02-19</t>
        </is>
      </c>
      <c r="J224" t="inlineStr">
        <is>
          <t>Samsung Rises on Report of Higher AI Memory Prices. Why Micr. 9% in trading in Seoul amid a report of a boost to high-bandwidth memory prices but Micr</t>
        </is>
      </c>
      <c r="K224" s="7" t="n">
        <v>-0.2693</v>
      </c>
    </row>
    <row r="225">
      <c r="A225" t="inlineStr">
        <is>
          <t>XLK</t>
        </is>
      </c>
      <c r="B225" t="inlineStr">
        <is>
          <t>Technology</t>
        </is>
      </c>
      <c r="C225" t="inlineStr">
        <is>
          <t>MU</t>
        </is>
      </c>
      <c r="D225" t="inlineStr">
        <is>
          <t>Micron Technology Inc</t>
        </is>
      </c>
      <c r="E225" t="inlineStr">
        <is>
          <t>4.00</t>
        </is>
      </c>
      <c r="F225" t="inlineStr">
        <is>
          <t>Earnings</t>
        </is>
      </c>
      <c r="G225" t="inlineStr">
        <is>
          <t>Could Investing $10,000 in Micron Technology Make You a Millionaire?</t>
        </is>
      </c>
      <c r="H225" s="3" t="inlineStr">
        <is>
          <t>https://www.fool.com/investing/2026/02/19/could-investing-10000-in-micron-technology-make-yo/?.tsrc=rss</t>
        </is>
      </c>
      <c r="I225" t="inlineStr">
        <is>
          <t>2026-02-19</t>
        </is>
      </c>
      <c r="J225" t="inlineStr">
        <is>
          <t>Could Investing $10,000 in Micron Technology Make You a Mill. This high-flying memory stock has more room to soar. Skyrocketing demand for memory chip</t>
        </is>
      </c>
      <c r="K225" s="4" t="n">
        <v>0.7082000000000001</v>
      </c>
    </row>
    <row r="226">
      <c r="A226" t="inlineStr">
        <is>
          <t>XLK</t>
        </is>
      </c>
      <c r="B226" t="inlineStr">
        <is>
          <t>Technology</t>
        </is>
      </c>
      <c r="C226" t="inlineStr">
        <is>
          <t>MU</t>
        </is>
      </c>
      <c r="D226" t="inlineStr">
        <is>
          <t>Micron Technology Inc</t>
        </is>
      </c>
      <c r="E226" t="inlineStr">
        <is>
          <t>4.00</t>
        </is>
      </c>
      <c r="F226" t="inlineStr">
        <is>
          <t>General</t>
        </is>
      </c>
      <c r="G226" t="inlineStr">
        <is>
          <t>The Memory Cycle Has Changed:  Micron Is Proving It in Cash Flow</t>
        </is>
      </c>
      <c r="H226" s="3" t="inlineStr">
        <is>
          <t>https://finance.yahoo.com/news/memory-cycle-changed-micron-proving-111418032.html?.tsrc=rss</t>
        </is>
      </c>
      <c r="I226" t="inlineStr">
        <is>
          <t>2026-02-19</t>
        </is>
      </c>
      <c r="J226" t="inlineStr">
        <is>
          <t>The Memory Cycle Has Changed:  Micron Is Proving It in Cash . This is not a normal upcycle, even if it won't last forever</t>
        </is>
      </c>
      <c r="K226" t="n">
        <v>0.1092</v>
      </c>
    </row>
    <row r="227">
      <c r="A227" t="inlineStr">
        <is>
          <t>XLK</t>
        </is>
      </c>
      <c r="B227" t="inlineStr">
        <is>
          <t>Technology</t>
        </is>
      </c>
      <c r="C227" t="inlineStr">
        <is>
          <t>MU</t>
        </is>
      </c>
      <c r="D227" t="inlineStr">
        <is>
          <t>Micron Technology Inc</t>
        </is>
      </c>
      <c r="E227" t="inlineStr">
        <is>
          <t>4.00</t>
        </is>
      </c>
      <c r="F227" t="inlineStr">
        <is>
          <t>General</t>
        </is>
      </c>
      <c r="G227" t="inlineStr">
        <is>
          <t>Is Micron Technology a Buy?</t>
        </is>
      </c>
      <c r="H227" s="3" t="inlineStr">
        <is>
          <t>https://www.fool.com/investing/2026/02/19/is-micron-technology-a-buy/?.tsrc=rss</t>
        </is>
      </c>
      <c r="I227" t="inlineStr">
        <is>
          <t>2026-02-19</t>
        </is>
      </c>
      <c r="J227" t="inlineStr">
        <is>
          <t>Is Micron Technology a Buy?. Micron's high-bandwidth memory may be a commodity, but it's a hot commodity</t>
        </is>
      </c>
      <c r="K227" t="n">
        <v>0.0982</v>
      </c>
    </row>
    <row r="228">
      <c r="A228" t="inlineStr">
        <is>
          <t>XLK</t>
        </is>
      </c>
      <c r="B228" t="inlineStr">
        <is>
          <t>Technology</t>
        </is>
      </c>
      <c r="C228" t="inlineStr">
        <is>
          <t>MU</t>
        </is>
      </c>
      <c r="D228" t="inlineStr">
        <is>
          <t>Micron Technology Inc</t>
        </is>
      </c>
      <c r="E228" t="inlineStr">
        <is>
          <t>4.00</t>
        </is>
      </c>
      <c r="F228" t="inlineStr">
        <is>
          <t>General</t>
        </is>
      </c>
      <c r="G228" t="inlineStr">
        <is>
          <t>Zacks Investment Ideas feature highlights Nvidia, Taiwan,  Bloom Energy, Alphabet, Microsoft, Amazon</t>
        </is>
      </c>
      <c r="H228" s="3" t="inlineStr">
        <is>
          <t>https://finance.yahoo.com/news/zacks-investment-ideas-feature-highlights-092200361.html?.tsrc=rss</t>
        </is>
      </c>
      <c r="I228" t="inlineStr">
        <is>
          <t>2026-02-19</t>
        </is>
      </c>
      <c r="J228" t="inlineStr">
        <is>
          <t>Zacks Investment Ideas feature highlights Nvidia, Taiwan,  B. Nvidia, Taiwan, Bloom Energy, Alphabet, Microsoft, Amazon, Intel, Nebius and Micron have</t>
        </is>
      </c>
      <c r="K228" s="5" t="n">
        <v>0.2141</v>
      </c>
    </row>
    <row r="229">
      <c r="A229" t="inlineStr">
        <is>
          <t>XLK</t>
        </is>
      </c>
      <c r="B229" t="inlineStr">
        <is>
          <t>Technology</t>
        </is>
      </c>
      <c r="C229" t="inlineStr">
        <is>
          <t>AMD</t>
        </is>
      </c>
      <c r="D229" t="inlineStr">
        <is>
          <t>Advanced Micro Devices Inc</t>
        </is>
      </c>
      <c r="E229" t="inlineStr">
        <is>
          <t>3.31</t>
        </is>
      </c>
      <c r="F229" t="inlineStr">
        <is>
          <t>General</t>
        </is>
      </c>
      <c r="G229" t="inlineStr">
        <is>
          <t>Market Chatter: Advanced Micro Devices to Back $300 Million Loan of Tech Startup Crusoe</t>
        </is>
      </c>
      <c r="H229" s="3" t="inlineStr">
        <is>
          <t>https://finance.yahoo.com/news/market-chatter-advanced-micro-devices-194810264.html?.tsrc=rss</t>
        </is>
      </c>
      <c r="I229" t="inlineStr">
        <is>
          <t>2026-02-19</t>
        </is>
      </c>
      <c r="J229" t="inlineStr">
        <is>
          <t>Market Chatter: Advanced Micro Devices to Back $300 Million . Advanced Micro Devices (AMD) is backing a $300 million loan by tech startup Crusoe to pu</t>
        </is>
      </c>
      <c r="K229" s="4" t="n">
        <v>0.5589</v>
      </c>
    </row>
    <row r="230">
      <c r="A230" t="inlineStr">
        <is>
          <t>XLK</t>
        </is>
      </c>
      <c r="B230" t="inlineStr">
        <is>
          <t>Technology</t>
        </is>
      </c>
      <c r="C230" t="inlineStr">
        <is>
          <t>AMD</t>
        </is>
      </c>
      <c r="D230" t="inlineStr">
        <is>
          <t>Advanced Micro Devices Inc</t>
        </is>
      </c>
      <c r="E230" t="inlineStr">
        <is>
          <t>3.31</t>
        </is>
      </c>
      <c r="F230" t="inlineStr">
        <is>
          <t>Product</t>
        </is>
      </c>
      <c r="G230" t="inlineStr">
        <is>
          <t>AMD to backstop $300 million Crusoe loan, The Information reports</t>
        </is>
      </c>
      <c r="H230" s="3" t="inlineStr">
        <is>
          <t>https://finance.yahoo.com/news/amd-backstop-300-million-crusoe-191218204.html?.tsrc=rss</t>
        </is>
      </c>
      <c r="I230" t="inlineStr">
        <is>
          <t>2026-02-19</t>
        </is>
      </c>
      <c r="J230" t="inlineStr">
        <is>
          <t>AMD to backstop $300 million Crusoe loan, The Information re. Feb 19 (Reuters) - Advanced Micro Devices is set to provide a $300 million loan guarante</t>
        </is>
      </c>
      <c r="K230" s="5" t="n">
        <v>0.4614</v>
      </c>
    </row>
    <row r="231">
      <c r="A231" t="inlineStr">
        <is>
          <t>XLK</t>
        </is>
      </c>
      <c r="B231" t="inlineStr">
        <is>
          <t>Technology</t>
        </is>
      </c>
      <c r="C231" t="inlineStr">
        <is>
          <t>AMD</t>
        </is>
      </c>
      <c r="D231" t="inlineStr">
        <is>
          <t>Advanced Micro Devices Inc</t>
        </is>
      </c>
      <c r="E231" t="inlineStr">
        <is>
          <t>3.31</t>
        </is>
      </c>
      <c r="F231" t="inlineStr">
        <is>
          <t>Earnings</t>
        </is>
      </c>
      <c r="G231" t="inlineStr">
        <is>
          <t>3 Predictions for Advanced Micro Devices in 2026</t>
        </is>
      </c>
      <c r="H231" s="3" t="inlineStr">
        <is>
          <t>https://www.fool.com/investing/2026/02/19/3-predictions-for-advanced-micro-devices-in-2026/?.tsrc=rss</t>
        </is>
      </c>
      <c r="I231" t="inlineStr">
        <is>
          <t>2026-02-19</t>
        </is>
      </c>
      <c r="J231" t="inlineStr">
        <is>
          <t>3 Predictions for Advanced Micro Devices in 2026. The narrative that will drive this stock's performance in the year ahead is going to largely focus o</t>
        </is>
      </c>
      <c r="K231" s="5" t="n">
        <v>0.3034</v>
      </c>
    </row>
    <row r="232">
      <c r="A232" t="inlineStr">
        <is>
          <t>XLK</t>
        </is>
      </c>
      <c r="B232" t="inlineStr">
        <is>
          <t>Technology</t>
        </is>
      </c>
      <c r="C232" t="inlineStr">
        <is>
          <t>AMD</t>
        </is>
      </c>
      <c r="D232" t="inlineStr">
        <is>
          <t>Advanced Micro Devices Inc</t>
        </is>
      </c>
      <c r="E232" t="inlineStr">
        <is>
          <t>3.31</t>
        </is>
      </c>
      <c r="F232" t="inlineStr">
        <is>
          <t>Product</t>
        </is>
      </c>
      <c r="G232" t="inlineStr">
        <is>
          <t xml:space="preserve">DigitalOcean Elevates its Agentic Inference Cloud with GPU Droplets powered by AMD Instinct™ MI350X </t>
        </is>
      </c>
      <c r="H232" s="3" t="inlineStr">
        <is>
          <t>https://finance.yahoo.com/news/digitalocean-elevates-agentic-inference-cloud-140000647.html?.tsrc=rss</t>
        </is>
      </c>
      <c r="I232" t="inlineStr">
        <is>
          <t>2026-02-19</t>
        </is>
      </c>
      <c r="J232" t="inlineStr">
        <is>
          <t>DigitalOcean Elevates its Agentic Inference Cloud with GPU D. DigitalOcean and AMD collaborate to deliver new GPUs with lower latency and higher throu</t>
        </is>
      </c>
      <c r="K232" s="4" t="n">
        <v>0.6294999999999999</v>
      </c>
    </row>
    <row r="233">
      <c r="A233" t="inlineStr">
        <is>
          <t>XLK</t>
        </is>
      </c>
      <c r="B233" t="inlineStr">
        <is>
          <t>Technology</t>
        </is>
      </c>
      <c r="C233" t="inlineStr">
        <is>
          <t>PLTR</t>
        </is>
      </c>
      <c r="D233" t="inlineStr">
        <is>
          <t>Palantir Technologies Inc Ordinary Shares - Class A</t>
        </is>
      </c>
      <c r="E233" t="inlineStr">
        <is>
          <t>2.88</t>
        </is>
      </c>
      <c r="F233" t="inlineStr">
        <is>
          <t>Analyst</t>
        </is>
      </c>
      <c r="G233" t="inlineStr">
        <is>
          <t>Why One Expert Thinks Palantir's Slumping Stock Is an Opportunity for Investors</t>
        </is>
      </c>
      <c r="H233" s="3" t="inlineStr">
        <is>
          <t>https://www.investopedia.com/palantir-has-slumped-35-from-its-highs-mizuho-says-that-means-it-s-time-to-buy-the-stock-11909988?.tsrc=rss</t>
        </is>
      </c>
      <c r="I233" t="inlineStr">
        <is>
          <t>2026-02-19</t>
        </is>
      </c>
      <c r="J233" t="inlineStr">
        <is>
          <t>Why One Expert Thinks Palantir's Slumping Stock Is an Opport. Palantir's recent slide has one analyst saying the shares are starting to look like a de</t>
        </is>
      </c>
      <c r="K233" t="n">
        <v>-0.0362</v>
      </c>
    </row>
    <row r="234">
      <c r="A234" t="inlineStr">
        <is>
          <t>XLK</t>
        </is>
      </c>
      <c r="B234" t="inlineStr">
        <is>
          <t>Technology</t>
        </is>
      </c>
      <c r="C234" t="inlineStr">
        <is>
          <t>PLTR</t>
        </is>
      </c>
      <c r="D234" t="inlineStr">
        <is>
          <t>Palantir Technologies Inc Ordinary Shares - Class A</t>
        </is>
      </c>
      <c r="E234" t="inlineStr">
        <is>
          <t>2.88</t>
        </is>
      </c>
      <c r="F234" t="inlineStr">
        <is>
          <t>Product</t>
        </is>
      </c>
      <c r="G234" t="inlineStr">
        <is>
          <t>Palantir's Moat Is Just 'Obstruction of Data Transfer' Michael Burry Says</t>
        </is>
      </c>
      <c r="H234" s="3" t="inlineStr">
        <is>
          <t>https://finance.yahoo.com/news/palantirs-moat-just-obstruction-data-193035323.html?.tsrc=rss</t>
        </is>
      </c>
      <c r="I234" t="inlineStr">
        <is>
          <t>2026-02-19</t>
        </is>
      </c>
      <c r="J234" t="inlineStr">
        <is>
          <t xml:space="preserve">Palantir's Moat Is Just 'Obstruction of Data Transfer' Micha. Michael Burry's recent critique of Palantir Technologies, Inc. (NASDAQ:PLTR) strikes at </t>
        </is>
      </c>
      <c r="K234" t="n">
        <v>-0.1982</v>
      </c>
    </row>
    <row r="235">
      <c r="A235" t="inlineStr">
        <is>
          <t>XLK</t>
        </is>
      </c>
      <c r="B235" t="inlineStr">
        <is>
          <t>Technology</t>
        </is>
      </c>
      <c r="C235" t="inlineStr">
        <is>
          <t>PLTR</t>
        </is>
      </c>
      <c r="D235" t="inlineStr">
        <is>
          <t>Palantir Technologies Inc Ordinary Shares - Class A</t>
        </is>
      </c>
      <c r="E235" t="inlineStr">
        <is>
          <t>2.88</t>
        </is>
      </c>
      <c r="F235" t="inlineStr">
        <is>
          <t>Earnings</t>
        </is>
      </c>
      <c r="G235" t="inlineStr">
        <is>
          <t>Palantir Stock Just Got Cheaper – Will Buying The Recent Dip Pay Off?</t>
        </is>
      </c>
      <c r="H235" s="3" t="inlineStr">
        <is>
          <t>https://www.barchart.com/story/news/311471/palantir-stock-just-got-cheaper-will-buying-the-recent-dip-pay-off?.tsrc=rss</t>
        </is>
      </c>
      <c r="I235" t="inlineStr">
        <is>
          <t>2026-02-19</t>
        </is>
      </c>
      <c r="J235" t="inlineStr">
        <is>
          <t xml:space="preserve">Palantir Stock Just Got Cheaper – Will Buying The Recent Dip. All information and data in this article is solely for informational purposes. For more </t>
        </is>
      </c>
      <c r="K235" t="n">
        <v>0.1075</v>
      </c>
    </row>
    <row r="236">
      <c r="A236" t="inlineStr">
        <is>
          <t>XLK</t>
        </is>
      </c>
      <c r="B236" t="inlineStr">
        <is>
          <t>Technology</t>
        </is>
      </c>
      <c r="C236" t="inlineStr">
        <is>
          <t>PLTR</t>
        </is>
      </c>
      <c r="D236" t="inlineStr">
        <is>
          <t>Palantir Technologies Inc Ordinary Shares - Class A</t>
        </is>
      </c>
      <c r="E236" t="inlineStr">
        <is>
          <t>2.88</t>
        </is>
      </c>
      <c r="F236" t="inlineStr">
        <is>
          <t>Regulatory</t>
        </is>
      </c>
      <c r="G236" t="inlineStr">
        <is>
          <t>Palantir Wins Partial Court Ruling in Percepta Dispute</t>
        </is>
      </c>
      <c r="H236" s="3" t="inlineStr">
        <is>
          <t>https://finance.yahoo.com/news/palantir-wins-partial-court-ruling-182134859.html?.tsrc=rss</t>
        </is>
      </c>
      <c r="I236" t="inlineStr">
        <is>
          <t>2026-02-19</t>
        </is>
      </c>
      <c r="J236" t="inlineStr">
        <is>
          <t>Palantir Wins Partial Court Ruling in Percepta Dispute. This article first appeared on GuruFocus. Palantir (NASDAQ:PLTR) secured a partial legal victo</t>
        </is>
      </c>
      <c r="K236" s="6" t="n">
        <v>-0.8004</v>
      </c>
    </row>
    <row r="237">
      <c r="A237" t="inlineStr">
        <is>
          <t>XLK</t>
        </is>
      </c>
      <c r="B237" t="inlineStr">
        <is>
          <t>Technology</t>
        </is>
      </c>
      <c r="C237" t="inlineStr">
        <is>
          <t>PLTR</t>
        </is>
      </c>
      <c r="D237" t="inlineStr">
        <is>
          <t>Palantir Technologies Inc Ordinary Shares - Class A</t>
        </is>
      </c>
      <c r="E237" t="inlineStr">
        <is>
          <t>2.88</t>
        </is>
      </c>
      <c r="F237" t="inlineStr">
        <is>
          <t>Product</t>
        </is>
      </c>
      <c r="G237" t="inlineStr">
        <is>
          <t>Palantir Has a Vision of an AI-First World. Will It Make Investors Rich?</t>
        </is>
      </c>
      <c r="H237" s="3" t="inlineStr">
        <is>
          <t>https://www.fool.com/investing/2026/02/19/palantir-has-a-vision-of-an-ai-first-world-will-it/?.tsrc=rss</t>
        </is>
      </c>
      <c r="I237" t="inlineStr">
        <is>
          <t>2026-02-19</t>
        </is>
      </c>
      <c r="J237" t="inlineStr">
        <is>
          <t xml:space="preserve">Palantir Has a Vision of an AI-First World. Will It Make Inv. CEO Alex Karp has ambitious plans for the company he leads. Palantir Technologies (PLTR </t>
        </is>
      </c>
      <c r="K237" s="5" t="n">
        <v>0.4076</v>
      </c>
    </row>
    <row r="238">
      <c r="A238" t="inlineStr">
        <is>
          <t>XLK</t>
        </is>
      </c>
      <c r="B238" t="inlineStr">
        <is>
          <t>Technology</t>
        </is>
      </c>
      <c r="C238" t="inlineStr">
        <is>
          <t>PLTR</t>
        </is>
      </c>
      <c r="D238" t="inlineStr">
        <is>
          <t>Palantir Technologies Inc Ordinary Shares - Class A</t>
        </is>
      </c>
      <c r="E238" t="inlineStr">
        <is>
          <t>2.88</t>
        </is>
      </c>
      <c r="F238" t="inlineStr">
        <is>
          <t>Earnings</t>
        </is>
      </c>
      <c r="G238" t="inlineStr">
        <is>
          <t>Palantir vs. Microsoft Stock: Which Is Wall Street More Bullish On?</t>
        </is>
      </c>
      <c r="H238" s="3" t="inlineStr">
        <is>
          <t>https://www.fool.com/investing/2026/02/19/palantir-vs-microsoft-stock-which-is-wall-street-m/?.tsrc=rss</t>
        </is>
      </c>
      <c r="I238" t="inlineStr">
        <is>
          <t>2026-02-19</t>
        </is>
      </c>
      <c r="J238" t="inlineStr">
        <is>
          <t>Palantir vs. Microsoft Stock: Which Is Wall Street More Bull. Both stocks have tumbled by double-digit percentages since the start of the year. 41%) a</t>
        </is>
      </c>
      <c r="K238" t="n">
        <v>-0.0134</v>
      </c>
    </row>
    <row r="239">
      <c r="A239" t="inlineStr">
        <is>
          <t>XLK</t>
        </is>
      </c>
      <c r="B239" t="inlineStr">
        <is>
          <t>Technology</t>
        </is>
      </c>
      <c r="C239" t="inlineStr">
        <is>
          <t>PLTR</t>
        </is>
      </c>
      <c r="D239" t="inlineStr">
        <is>
          <t>Palantir Technologies Inc Ordinary Shares - Class A</t>
        </is>
      </c>
      <c r="E239" t="inlineStr">
        <is>
          <t>2.88</t>
        </is>
      </c>
      <c r="F239" t="inlineStr">
        <is>
          <t>Earnings</t>
        </is>
      </c>
      <c r="G239" t="inlineStr">
        <is>
          <t>Michael Burry Sounds Alarm on Palantir -- Warns Shares Could Fall to $46</t>
        </is>
      </c>
      <c r="H239" s="3" t="inlineStr">
        <is>
          <t>https://finance.yahoo.com/news/michael-burry-sounds-alarm-palantir-120101119.html?.tsrc=rss</t>
        </is>
      </c>
      <c r="I239" t="inlineStr">
        <is>
          <t>2026-02-19</t>
        </is>
      </c>
      <c r="J239" t="inlineStr">
        <is>
          <t>Michael Burry Sounds Alarm on Palantir -- Warns Shares Could. This article first appeared on GuruFocus. Palantir Technologies (NASDAQ:PLTR) is again u</t>
        </is>
      </c>
      <c r="K239" t="n">
        <v>-0.08160000000000001</v>
      </c>
    </row>
    <row r="240">
      <c r="A240" t="inlineStr">
        <is>
          <t>XLK</t>
        </is>
      </c>
      <c r="B240" t="inlineStr">
        <is>
          <t>Technology</t>
        </is>
      </c>
      <c r="C240" t="inlineStr">
        <is>
          <t>CSCO</t>
        </is>
      </c>
      <c r="D240" t="inlineStr">
        <is>
          <t>Cisco Systems Inc</t>
        </is>
      </c>
      <c r="E240" t="inlineStr">
        <is>
          <t>2.65</t>
        </is>
      </c>
      <c r="F240" t="inlineStr">
        <is>
          <t>Earnings</t>
        </is>
      </c>
      <c r="G240" t="inlineStr">
        <is>
          <t>Cisco Quantum Breakthrough And AI Push Deepen Long Term Investor Debate</t>
        </is>
      </c>
      <c r="H240" s="3" t="inlineStr">
        <is>
          <t>https://finance.yahoo.com/news/cisco-quantum-breakthrough-ai-push-211144395.html?.tsrc=rss</t>
        </is>
      </c>
      <c r="I240" t="inlineStr">
        <is>
          <t>2026-02-19</t>
        </is>
      </c>
      <c r="J240" t="inlineStr">
        <is>
          <t>Cisco Quantum Breakthrough And AI Push Deepen Long Term Inve. Find your next quality investment with Simply Wall St's easy and powerful screener, trus</t>
        </is>
      </c>
      <c r="K240" s="4" t="n">
        <v>0.5405</v>
      </c>
    </row>
    <row r="241">
      <c r="A241" t="inlineStr">
        <is>
          <t>XLK</t>
        </is>
      </c>
      <c r="B241" t="inlineStr">
        <is>
          <t>Technology</t>
        </is>
      </c>
      <c r="C241" t="inlineStr">
        <is>
          <t>CSCO</t>
        </is>
      </c>
      <c r="D241" t="inlineStr">
        <is>
          <t>Cisco Systems Inc</t>
        </is>
      </c>
      <c r="E241" t="inlineStr">
        <is>
          <t>2.65</t>
        </is>
      </c>
      <c r="F241" t="inlineStr">
        <is>
          <t>Earnings</t>
        </is>
      </c>
      <c r="G241" t="inlineStr">
        <is>
          <t>Wall Street Analysts Think Cisco (CSCO) Is a Good Investment: Is It?</t>
        </is>
      </c>
      <c r="H241" s="3" t="inlineStr">
        <is>
          <t>https://finance.yahoo.com/news/wall-street-analysts-think-cisco-143003841.html?.tsrc=rss</t>
        </is>
      </c>
      <c r="I241" t="inlineStr">
        <is>
          <t>2026-02-19</t>
        </is>
      </c>
      <c r="J241" t="inlineStr">
        <is>
          <t>Wall Street Analysts Think Cisco (CSCO) Is a Good Investment. When deciding whether to buy, sell, or hold a stock, investors often rely on analyst rec</t>
        </is>
      </c>
      <c r="K241" s="5" t="n">
        <v>0.3507</v>
      </c>
    </row>
    <row r="242">
      <c r="A242" t="inlineStr">
        <is>
          <t>XLK</t>
        </is>
      </c>
      <c r="B242" t="inlineStr">
        <is>
          <t>Technology</t>
        </is>
      </c>
      <c r="C242" t="inlineStr">
        <is>
          <t>CSCO</t>
        </is>
      </c>
      <c r="D242" t="inlineStr">
        <is>
          <t>Cisco Systems Inc</t>
        </is>
      </c>
      <c r="E242" t="inlineStr">
        <is>
          <t>2.65</t>
        </is>
      </c>
      <c r="F242" t="inlineStr">
        <is>
          <t>Earnings</t>
        </is>
      </c>
      <c r="G242" t="inlineStr">
        <is>
          <t>Cisco Systems (CSCO) Crossed Above the 50-Day Moving Average: What That Means for Investors</t>
        </is>
      </c>
      <c r="H242" s="3" t="inlineStr">
        <is>
          <t>https://finance.yahoo.com/news/cisco-systems-csco-crossed-above-143002245.html?.tsrc=rss</t>
        </is>
      </c>
      <c r="I242" t="inlineStr">
        <is>
          <t>2026-02-19</t>
        </is>
      </c>
      <c r="J242" t="inlineStr">
        <is>
          <t>Cisco Systems (CSCO) Crossed Above the 50-Day Moving Average. Cisco Systems (CSCO) is looking like an interesting pick from a technical perspective, a</t>
        </is>
      </c>
      <c r="K242" s="5" t="n">
        <v>0.4541</v>
      </c>
    </row>
    <row r="243">
      <c r="A243" t="inlineStr">
        <is>
          <t>XLK</t>
        </is>
      </c>
      <c r="B243" t="inlineStr">
        <is>
          <t>Technology</t>
        </is>
      </c>
      <c r="C243" t="inlineStr">
        <is>
          <t>CSCO</t>
        </is>
      </c>
      <c r="D243" t="inlineStr">
        <is>
          <t>Cisco Systems Inc</t>
        </is>
      </c>
      <c r="E243" t="inlineStr">
        <is>
          <t>2.65</t>
        </is>
      </c>
      <c r="F243" t="inlineStr">
        <is>
          <t>General</t>
        </is>
      </c>
      <c r="G243" t="inlineStr">
        <is>
          <t>How Cisco's Partnerships With LISC, Per Scholas Are Building Resilience in Western North Carolina</t>
        </is>
      </c>
      <c r="H243" s="3" t="inlineStr">
        <is>
          <t>https://finance.yahoo.com/news/ciscos-partnerships-lisc-per-scholas-142000328.html?.tsrc=rss</t>
        </is>
      </c>
      <c r="I243" t="inlineStr">
        <is>
          <t>2026-02-19</t>
        </is>
      </c>
      <c r="J243" t="inlineStr">
        <is>
          <t>How Cisco's Partnerships With LISC, Per Scholas Are Building. NORTHAMPTON, MA / ACCESS Newswire / February 19, 2026 / By Julie Rose When Hurricane Hel</t>
        </is>
      </c>
      <c r="K243" s="4" t="n">
        <v>0.5049</v>
      </c>
    </row>
    <row r="244">
      <c r="A244" t="inlineStr">
        <is>
          <t>XLK</t>
        </is>
      </c>
      <c r="B244" t="inlineStr">
        <is>
          <t>Technology</t>
        </is>
      </c>
      <c r="C244" t="inlineStr">
        <is>
          <t>CSCO</t>
        </is>
      </c>
      <c r="D244" t="inlineStr">
        <is>
          <t>Cisco Systems Inc</t>
        </is>
      </c>
      <c r="E244" t="inlineStr">
        <is>
          <t>2.65</t>
        </is>
      </c>
      <c r="F244" t="inlineStr">
        <is>
          <t>Analyst</t>
        </is>
      </c>
      <c r="G244" t="inlineStr">
        <is>
          <t>Telecom's Greenest Vendors Research Report 2026: Assessment of Sustainability Performance for 49 Tel</t>
        </is>
      </c>
      <c r="H244" s="3" t="inlineStr">
        <is>
          <t>https://finance.yahoo.com/news/telecoms-greenest-vendors-research-report-090300776.html?.tsrc=rss</t>
        </is>
      </c>
      <c r="I244" t="inlineStr">
        <is>
          <t>2026-02-19</t>
        </is>
      </c>
      <c r="J244" t="inlineStr">
        <is>
          <t xml:space="preserve">Telecom's Greenest Vendors Research Report 2026: Assessment . Telcos can boost sustainability by focusing on supply chain emissions, as these account </t>
        </is>
      </c>
      <c r="K244" s="5" t="n">
        <v>0.4675</v>
      </c>
    </row>
    <row r="245">
      <c r="A245" t="inlineStr">
        <is>
          <t>XLK</t>
        </is>
      </c>
      <c r="B245" t="inlineStr">
        <is>
          <t>Technology</t>
        </is>
      </c>
      <c r="C245" t="inlineStr">
        <is>
          <t>IBM</t>
        </is>
      </c>
      <c r="D245" t="inlineStr">
        <is>
          <t>International Business Machines Corp</t>
        </is>
      </c>
      <c r="E245" t="inlineStr">
        <is>
          <t>2.46</t>
        </is>
      </c>
      <c r="F245" t="inlineStr">
        <is>
          <t>Earnings</t>
        </is>
      </c>
      <c r="G245" t="inlineStr">
        <is>
          <t>How IBM’s AI and Quantum Infrastructure Push At International Business Machines (IBM) Has Changed It</t>
        </is>
      </c>
      <c r="H245" s="3" t="inlineStr">
        <is>
          <t>https://finance.yahoo.com/news/ibm-ai-quantum-infrastructure-push-200902857.html?.tsrc=rss</t>
        </is>
      </c>
      <c r="I245" t="inlineStr">
        <is>
          <t>2026-02-19</t>
        </is>
      </c>
      <c r="J245" t="inlineStr">
        <is>
          <t>How IBM’s AI and Quantum Infrastructure Push At Internationa. In recent weeks, IBM has joined the new Southeastern Quantum Collaborative alongside D-W</t>
        </is>
      </c>
      <c r="K245" s="5" t="n">
        <v>0.4974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s="2" t="inlineStr">
        <is>
          <t>XLU</t>
        </is>
      </c>
      <c r="B247" s="2">
        <f>== UTILITIES ===</f>
        <v/>
      </c>
      <c r="C247" s="2" t="inlineStr">
        <is>
          <t>Simple: 0.2789</t>
        </is>
      </c>
      <c r="D247" s="2" t="inlineStr">
        <is>
          <t>Weighted: 0.2575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</row>
    <row r="248">
      <c r="A248" t="inlineStr">
        <is>
          <t>XLU</t>
        </is>
      </c>
      <c r="B248" t="inlineStr">
        <is>
          <t>Utilities</t>
        </is>
      </c>
      <c r="C248" t="inlineStr">
        <is>
          <t>SO</t>
        </is>
      </c>
      <c r="D248" t="inlineStr">
        <is>
          <t>Southern Co</t>
        </is>
      </c>
      <c r="E248" t="inlineStr">
        <is>
          <t>7.35</t>
        </is>
      </c>
      <c r="F248" t="inlineStr">
        <is>
          <t>Earnings</t>
        </is>
      </c>
      <c r="G248" t="inlineStr">
        <is>
          <t>Compared to Estimates, Southern Co. (SO) Q4 Earnings: A Look at Key Metrics</t>
        </is>
      </c>
      <c r="H248" s="3" t="inlineStr">
        <is>
          <t>https://finance.yahoo.com/news/compared-estimates-southern-co-q4-153001013.html?.tsrc=rss</t>
        </is>
      </c>
      <c r="I248" t="inlineStr">
        <is>
          <t>2026-02-19</t>
        </is>
      </c>
      <c r="J248" t="inlineStr">
        <is>
          <t>Compared to Estimates, Southern Co. (SO) Q4 Earnings: A Look. 98 billion in revenue for the quarter ended December 2025, representing a year-over-year</t>
        </is>
      </c>
      <c r="K248" s="5" t="n">
        <v>0.2235</v>
      </c>
    </row>
    <row r="249">
      <c r="A249" t="inlineStr">
        <is>
          <t>XLU</t>
        </is>
      </c>
      <c r="B249" t="inlineStr">
        <is>
          <t>Utilities</t>
        </is>
      </c>
      <c r="C249" t="inlineStr">
        <is>
          <t>SO</t>
        </is>
      </c>
      <c r="D249" t="inlineStr">
        <is>
          <t>Southern Co</t>
        </is>
      </c>
      <c r="E249" t="inlineStr">
        <is>
          <t>7.35</t>
        </is>
      </c>
      <c r="F249" t="inlineStr">
        <is>
          <t>Earnings</t>
        </is>
      </c>
      <c r="G249" t="inlineStr">
        <is>
          <t>Southern Co. (SO) Misses Q4 Earnings Estimates</t>
        </is>
      </c>
      <c r="H249" s="3" t="inlineStr">
        <is>
          <t>https://finance.yahoo.com/news/southern-co-misses-q4-earnings-134001016.html?.tsrc=rss</t>
        </is>
      </c>
      <c r="I249" t="inlineStr">
        <is>
          <t>2026-02-19</t>
        </is>
      </c>
      <c r="J249" t="inlineStr">
        <is>
          <t>Southern Co. (SO) Misses Q4 Earnings Estimates. (SO) came out with quarterly earnings of $0. 55 per share, missing the Zacks Consensus Estimate of $0</t>
        </is>
      </c>
      <c r="K249" s="5" t="n">
        <v>0.2416</v>
      </c>
    </row>
    <row r="250">
      <c r="A250" t="inlineStr">
        <is>
          <t>XLU</t>
        </is>
      </c>
      <c r="B250" t="inlineStr">
        <is>
          <t>Utilities</t>
        </is>
      </c>
      <c r="C250" t="inlineStr">
        <is>
          <t>SO</t>
        </is>
      </c>
      <c r="D250" t="inlineStr">
        <is>
          <t>Southern Co</t>
        </is>
      </c>
      <c r="E250" t="inlineStr">
        <is>
          <t>7.35</t>
        </is>
      </c>
      <c r="F250" t="inlineStr">
        <is>
          <t>Earnings</t>
        </is>
      </c>
      <c r="G250" t="inlineStr">
        <is>
          <t>Southern Co raises spending plan by 7% as data center power demand swells</t>
        </is>
      </c>
      <c r="H250" s="3" t="inlineStr">
        <is>
          <t>https://finance.yahoo.com/news/southern-co-raises-spending-plan-133908858.html?.tsrc=rss</t>
        </is>
      </c>
      <c r="I250" t="inlineStr">
        <is>
          <t>2026-02-19</t>
        </is>
      </c>
      <c r="J250" t="inlineStr">
        <is>
          <t>Southern Co raises spending plan by 7% as data center power . By Vallari Srivastava and Laila Kearney Feb 19 (Reuters) - Southern Co raised its five-y</t>
        </is>
      </c>
      <c r="K250" s="4" t="n">
        <v>0.5784</v>
      </c>
    </row>
    <row r="251">
      <c r="A251" t="inlineStr">
        <is>
          <t>XLU</t>
        </is>
      </c>
      <c r="B251" t="inlineStr">
        <is>
          <t>Utilities</t>
        </is>
      </c>
      <c r="C251" t="inlineStr">
        <is>
          <t>SO</t>
        </is>
      </c>
      <c r="D251" t="inlineStr">
        <is>
          <t>Southern Co</t>
        </is>
      </c>
      <c r="E251" t="inlineStr">
        <is>
          <t>7.35</t>
        </is>
      </c>
      <c r="F251" t="inlineStr">
        <is>
          <t>Earnings</t>
        </is>
      </c>
      <c r="G251" t="inlineStr">
        <is>
          <t>Southern Co.: Q4 Earnings Snapshot</t>
        </is>
      </c>
      <c r="H251" s="3" t="inlineStr">
        <is>
          <t>https://finance.yahoo.com/news/southern-co-q4-earnings-snapshot-123832280.html?.tsrc=rss</t>
        </is>
      </c>
      <c r="I251" t="inlineStr">
        <is>
          <t>2026-02-19</t>
        </is>
      </c>
      <c r="J251" t="inlineStr">
        <is>
          <t>Southern Co.: Q4 Earnings Snapshot. ATLANTA (AP) — ATLANTA (AP) — Southern Co. (SO) on Thursday reported fourth-quarter net income of $416 million</t>
        </is>
      </c>
      <c r="K251" t="n">
        <v>0.0331</v>
      </c>
    </row>
    <row r="252">
      <c r="A252" t="inlineStr">
        <is>
          <t>XLU</t>
        </is>
      </c>
      <c r="B252" t="inlineStr">
        <is>
          <t>Utilities</t>
        </is>
      </c>
      <c r="C252" t="inlineStr">
        <is>
          <t>SO</t>
        </is>
      </c>
      <c r="D252" t="inlineStr">
        <is>
          <t>Southern Co</t>
        </is>
      </c>
      <c r="E252" t="inlineStr">
        <is>
          <t>7.35</t>
        </is>
      </c>
      <c r="F252" t="inlineStr">
        <is>
          <t>Earnings</t>
        </is>
      </c>
      <c r="G252" t="inlineStr">
        <is>
          <t>Southern Company reports fourth-quarter and full-year 2025 earnings</t>
        </is>
      </c>
      <c r="H252" s="3" t="inlineStr">
        <is>
          <t>https://finance.yahoo.com/news/southern-company-reports-fourth-quarter-123000239.html?.tsrc=rss</t>
        </is>
      </c>
      <c r="I252" t="inlineStr">
        <is>
          <t>2026-02-19</t>
        </is>
      </c>
      <c r="J252" t="inlineStr">
        <is>
          <t>Southern Company reports fourth-quarter and full-year 2025 e. 19, 2026 /PRNewswire/ -- Southern Company today reported fourth-quarter earnings of $416</t>
        </is>
      </c>
      <c r="K252" t="n">
        <v>0.0599</v>
      </c>
    </row>
    <row r="253">
      <c r="A253" t="inlineStr">
        <is>
          <t>XLU</t>
        </is>
      </c>
      <c r="B253" t="inlineStr">
        <is>
          <t>Utilities</t>
        </is>
      </c>
      <c r="C253" t="inlineStr">
        <is>
          <t>SRE</t>
        </is>
      </c>
      <c r="D253" t="inlineStr">
        <is>
          <t>Sempra</t>
        </is>
      </c>
      <c r="E253" t="inlineStr">
        <is>
          <t>4.24</t>
        </is>
      </c>
      <c r="F253" t="inlineStr">
        <is>
          <t>Earnings</t>
        </is>
      </c>
      <c r="G253" t="inlineStr">
        <is>
          <t>Sempra (SRE) Expected to Beat Earnings Estimates: Can the Stock Move Higher?</t>
        </is>
      </c>
      <c r="H253" s="3" t="inlineStr">
        <is>
          <t>https://finance.yahoo.com/news/sempra-sre-expected-beat-earnings-150010944.html?.tsrc=rss</t>
        </is>
      </c>
      <c r="I253" t="inlineStr">
        <is>
          <t>2026-02-19</t>
        </is>
      </c>
      <c r="J253" t="inlineStr">
        <is>
          <t>Sempra (SRE) Expected to Beat Earnings Estimates: Can the St. Sempra (SRE) is expected to deliver a year-over-year decline in earnings on lower revenu</t>
        </is>
      </c>
      <c r="K253" t="n">
        <v>-0.0062</v>
      </c>
    </row>
    <row r="254">
      <c r="A254" t="inlineStr">
        <is>
          <t>XLU</t>
        </is>
      </c>
      <c r="B254" t="inlineStr">
        <is>
          <t>Utilities</t>
        </is>
      </c>
      <c r="C254" t="inlineStr">
        <is>
          <t>VST</t>
        </is>
      </c>
      <c r="D254" t="inlineStr">
        <is>
          <t>Vistra Corp</t>
        </is>
      </c>
      <c r="E254" t="inlineStr">
        <is>
          <t>3.77</t>
        </is>
      </c>
      <c r="F254" t="inlineStr">
        <is>
          <t>General</t>
        </is>
      </c>
      <c r="G254" t="inlineStr">
        <is>
          <t>Vistra Declares Dividend on Common Stock and Series A Preferred Stock</t>
        </is>
      </c>
      <c r="H254" s="3" t="inlineStr">
        <is>
          <t>https://finance.yahoo.com/news/vistra-declares-dividend-common-stock-211500041.html?.tsrc=rss</t>
        </is>
      </c>
      <c r="I254" t="inlineStr">
        <is>
          <t>2026-02-19</t>
        </is>
      </c>
      <c r="J254" t="inlineStr">
        <is>
          <t xml:space="preserve">Vistra Declares Dividend on Common Stock and Series A Prefer. 19, 2026 /PRNewswire/ -- Vistra (NYSE: VST) announced today that its board of directors </t>
        </is>
      </c>
      <c r="K254" s="5" t="n">
        <v>0.3243</v>
      </c>
    </row>
    <row r="255">
      <c r="A255" t="inlineStr">
        <is>
          <t>XLU</t>
        </is>
      </c>
      <c r="B255" t="inlineStr">
        <is>
          <t>Utilities</t>
        </is>
      </c>
      <c r="C255" t="inlineStr">
        <is>
          <t>VST</t>
        </is>
      </c>
      <c r="D255" t="inlineStr">
        <is>
          <t>Vistra Corp</t>
        </is>
      </c>
      <c r="E255" t="inlineStr">
        <is>
          <t>3.77</t>
        </is>
      </c>
      <c r="F255" t="inlineStr">
        <is>
          <t>Earnings</t>
        </is>
      </c>
      <c r="G255" t="inlineStr">
        <is>
          <t>Vistra Corp. (VST) Reports Next Week: Wall Street Expects Earnings Growth</t>
        </is>
      </c>
      <c r="H255" s="3" t="inlineStr">
        <is>
          <t>https://finance.yahoo.com/news/vistra-corp-vst-reports-next-150006706.html?.tsrc=rss</t>
        </is>
      </c>
      <c r="I255" t="inlineStr">
        <is>
          <t>2026-02-19</t>
        </is>
      </c>
      <c r="J255" t="inlineStr">
        <is>
          <t>Vistra Corp. (VST) Reports Next Week: Wall Street Expects Ea. Wall Street expects a year-over-year increase in earnings on higher revenues when Vistra</t>
        </is>
      </c>
      <c r="K255" s="5" t="n">
        <v>0.4496</v>
      </c>
    </row>
    <row r="256">
      <c r="A256" t="inlineStr">
        <is>
          <t>XLU</t>
        </is>
      </c>
      <c r="B256" t="inlineStr">
        <is>
          <t>Utilities</t>
        </is>
      </c>
      <c r="C256" t="inlineStr">
        <is>
          <t>EXC</t>
        </is>
      </c>
      <c r="D256" t="inlineStr">
        <is>
          <t>Exelon Corp</t>
        </is>
      </c>
      <c r="E256" t="inlineStr">
        <is>
          <t>3.38</t>
        </is>
      </c>
      <c r="F256" t="inlineStr">
        <is>
          <t>Product</t>
        </is>
      </c>
      <c r="G256" t="inlineStr">
        <is>
          <t>Exelon Commends U.S. Department of the Treasury for Issuing Tax Notice that Addresses Affordability,</t>
        </is>
      </c>
      <c r="H256" s="3" t="inlineStr">
        <is>
          <t>https://finance.yahoo.com/news/exelon-commends-u-department-treasury-172200100.html?.tsrc=rss</t>
        </is>
      </c>
      <c r="I256" t="inlineStr">
        <is>
          <t>2026-02-19</t>
        </is>
      </c>
      <c r="J256" t="inlineStr">
        <is>
          <t>Exelon Commends U.S. Department of the Treasury for Issuing . CHICAGO, February 19, 2026--(BUSINESS WIRE)--Exelon today commended the U. Department of</t>
        </is>
      </c>
      <c r="K256" s="4" t="n">
        <v>0.6866</v>
      </c>
    </row>
    <row r="257">
      <c r="A257" t="inlineStr">
        <is>
          <t>XLU</t>
        </is>
      </c>
      <c r="B257" t="inlineStr">
        <is>
          <t>Utilities</t>
        </is>
      </c>
      <c r="C257" t="inlineStr">
        <is>
          <t>XEL</t>
        </is>
      </c>
      <c r="D257" t="inlineStr">
        <is>
          <t>Xcel Energy Inc</t>
        </is>
      </c>
      <c r="E257" t="inlineStr">
        <is>
          <t>3.36</t>
        </is>
      </c>
      <c r="F257" t="inlineStr">
        <is>
          <t>Earnings</t>
        </is>
      </c>
      <c r="G257" t="inlineStr">
        <is>
          <t>VPP vs. VPP: Customer-owned DER aggregators challenge Xcel-owned batteries in Minnesota docket</t>
        </is>
      </c>
      <c r="H257" s="3" t="inlineStr">
        <is>
          <t>https://www.utilitydive.com/news/vpp-customer-owned-der-aggregators-challenge-xcel-owned-batteries-minnesota/812279/?.tsrc=rss</t>
        </is>
      </c>
      <c r="I257" t="inlineStr">
        <is>
          <t>2026-02-19</t>
        </is>
      </c>
      <c r="J257" t="inlineStr">
        <is>
          <t xml:space="preserve">VPP vs. VPP: Customer-owned DER aggregators challenge Xcel-o. The Minnesota decision could affect how regulators see virtual power plants nationwide. </t>
        </is>
      </c>
      <c r="K257" t="n">
        <v>0.1981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</sheetData>
  <autoFilter ref="A1:K1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3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54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8" r:id="rId52"/>
    <hyperlink xmlns:r="http://schemas.openxmlformats.org/officeDocument/2006/relationships" ref="H59" r:id="rId53"/>
    <hyperlink xmlns:r="http://schemas.openxmlformats.org/officeDocument/2006/relationships" ref="H60" r:id="rId54"/>
    <hyperlink xmlns:r="http://schemas.openxmlformats.org/officeDocument/2006/relationships" ref="H61" r:id="rId55"/>
    <hyperlink xmlns:r="http://schemas.openxmlformats.org/officeDocument/2006/relationships" ref="H62" r:id="rId56"/>
    <hyperlink xmlns:r="http://schemas.openxmlformats.org/officeDocument/2006/relationships" ref="H63" r:id="rId57"/>
    <hyperlink xmlns:r="http://schemas.openxmlformats.org/officeDocument/2006/relationships" ref="H66" r:id="rId58"/>
    <hyperlink xmlns:r="http://schemas.openxmlformats.org/officeDocument/2006/relationships" ref="H67" r:id="rId59"/>
    <hyperlink xmlns:r="http://schemas.openxmlformats.org/officeDocument/2006/relationships" ref="H68" r:id="rId60"/>
    <hyperlink xmlns:r="http://schemas.openxmlformats.org/officeDocument/2006/relationships" ref="H69" r:id="rId61"/>
    <hyperlink xmlns:r="http://schemas.openxmlformats.org/officeDocument/2006/relationships" ref="H70" r:id="rId62"/>
    <hyperlink xmlns:r="http://schemas.openxmlformats.org/officeDocument/2006/relationships" ref="H71" r:id="rId63"/>
    <hyperlink xmlns:r="http://schemas.openxmlformats.org/officeDocument/2006/relationships" ref="H72" r:id="rId64"/>
    <hyperlink xmlns:r="http://schemas.openxmlformats.org/officeDocument/2006/relationships" ref="H73" r:id="rId65"/>
    <hyperlink xmlns:r="http://schemas.openxmlformats.org/officeDocument/2006/relationships" ref="H74" r:id="rId66"/>
    <hyperlink xmlns:r="http://schemas.openxmlformats.org/officeDocument/2006/relationships" ref="H77" r:id="rId67"/>
    <hyperlink xmlns:r="http://schemas.openxmlformats.org/officeDocument/2006/relationships" ref="H78" r:id="rId68"/>
    <hyperlink xmlns:r="http://schemas.openxmlformats.org/officeDocument/2006/relationships" ref="H79" r:id="rId69"/>
    <hyperlink xmlns:r="http://schemas.openxmlformats.org/officeDocument/2006/relationships" ref="H80" r:id="rId70"/>
    <hyperlink xmlns:r="http://schemas.openxmlformats.org/officeDocument/2006/relationships" ref="H81" r:id="rId71"/>
    <hyperlink xmlns:r="http://schemas.openxmlformats.org/officeDocument/2006/relationships" ref="H82" r:id="rId72"/>
    <hyperlink xmlns:r="http://schemas.openxmlformats.org/officeDocument/2006/relationships" ref="H83" r:id="rId73"/>
    <hyperlink xmlns:r="http://schemas.openxmlformats.org/officeDocument/2006/relationships" ref="H84" r:id="rId74"/>
    <hyperlink xmlns:r="http://schemas.openxmlformats.org/officeDocument/2006/relationships" ref="H85" r:id="rId75"/>
    <hyperlink xmlns:r="http://schemas.openxmlformats.org/officeDocument/2006/relationships" ref="H86" r:id="rId76"/>
    <hyperlink xmlns:r="http://schemas.openxmlformats.org/officeDocument/2006/relationships" ref="H87" r:id="rId77"/>
    <hyperlink xmlns:r="http://schemas.openxmlformats.org/officeDocument/2006/relationships" ref="H88" r:id="rId78"/>
    <hyperlink xmlns:r="http://schemas.openxmlformats.org/officeDocument/2006/relationships" ref="H89" r:id="rId79"/>
    <hyperlink xmlns:r="http://schemas.openxmlformats.org/officeDocument/2006/relationships" ref="H90" r:id="rId80"/>
    <hyperlink xmlns:r="http://schemas.openxmlformats.org/officeDocument/2006/relationships" ref="H91" r:id="rId81"/>
    <hyperlink xmlns:r="http://schemas.openxmlformats.org/officeDocument/2006/relationships" ref="H92" r:id="rId82"/>
    <hyperlink xmlns:r="http://schemas.openxmlformats.org/officeDocument/2006/relationships" ref="H93" r:id="rId83"/>
    <hyperlink xmlns:r="http://schemas.openxmlformats.org/officeDocument/2006/relationships" ref="H94" r:id="rId84"/>
    <hyperlink xmlns:r="http://schemas.openxmlformats.org/officeDocument/2006/relationships" ref="H95" r:id="rId85"/>
    <hyperlink xmlns:r="http://schemas.openxmlformats.org/officeDocument/2006/relationships" ref="H96" r:id="rId86"/>
    <hyperlink xmlns:r="http://schemas.openxmlformats.org/officeDocument/2006/relationships" ref="H97" r:id="rId87"/>
    <hyperlink xmlns:r="http://schemas.openxmlformats.org/officeDocument/2006/relationships" ref="H98" r:id="rId88"/>
    <hyperlink xmlns:r="http://schemas.openxmlformats.org/officeDocument/2006/relationships" ref="H99" r:id="rId89"/>
    <hyperlink xmlns:r="http://schemas.openxmlformats.org/officeDocument/2006/relationships" ref="H100" r:id="rId90"/>
    <hyperlink xmlns:r="http://schemas.openxmlformats.org/officeDocument/2006/relationships" ref="H101" r:id="rId91"/>
    <hyperlink xmlns:r="http://schemas.openxmlformats.org/officeDocument/2006/relationships" ref="H102" r:id="rId92"/>
    <hyperlink xmlns:r="http://schemas.openxmlformats.org/officeDocument/2006/relationships" ref="H103" r:id="rId93"/>
    <hyperlink xmlns:r="http://schemas.openxmlformats.org/officeDocument/2006/relationships" ref="H104" r:id="rId94"/>
    <hyperlink xmlns:r="http://schemas.openxmlformats.org/officeDocument/2006/relationships" ref="H105" r:id="rId95"/>
    <hyperlink xmlns:r="http://schemas.openxmlformats.org/officeDocument/2006/relationships" ref="H106" r:id="rId96"/>
    <hyperlink xmlns:r="http://schemas.openxmlformats.org/officeDocument/2006/relationships" ref="H107" r:id="rId97"/>
    <hyperlink xmlns:r="http://schemas.openxmlformats.org/officeDocument/2006/relationships" ref="H108" r:id="rId98"/>
    <hyperlink xmlns:r="http://schemas.openxmlformats.org/officeDocument/2006/relationships" ref="H109" r:id="rId99"/>
    <hyperlink xmlns:r="http://schemas.openxmlformats.org/officeDocument/2006/relationships" ref="H112" r:id="rId100"/>
    <hyperlink xmlns:r="http://schemas.openxmlformats.org/officeDocument/2006/relationships" ref="H113" r:id="rId101"/>
    <hyperlink xmlns:r="http://schemas.openxmlformats.org/officeDocument/2006/relationships" ref="H114" r:id="rId102"/>
    <hyperlink xmlns:r="http://schemas.openxmlformats.org/officeDocument/2006/relationships" ref="H115" r:id="rId103"/>
    <hyperlink xmlns:r="http://schemas.openxmlformats.org/officeDocument/2006/relationships" ref="H116" r:id="rId104"/>
    <hyperlink xmlns:r="http://schemas.openxmlformats.org/officeDocument/2006/relationships" ref="H117" r:id="rId105"/>
    <hyperlink xmlns:r="http://schemas.openxmlformats.org/officeDocument/2006/relationships" ref="H118" r:id="rId106"/>
    <hyperlink xmlns:r="http://schemas.openxmlformats.org/officeDocument/2006/relationships" ref="H119" r:id="rId107"/>
    <hyperlink xmlns:r="http://schemas.openxmlformats.org/officeDocument/2006/relationships" ref="H120" r:id="rId108"/>
    <hyperlink xmlns:r="http://schemas.openxmlformats.org/officeDocument/2006/relationships" ref="H121" r:id="rId109"/>
    <hyperlink xmlns:r="http://schemas.openxmlformats.org/officeDocument/2006/relationships" ref="H122" r:id="rId110"/>
    <hyperlink xmlns:r="http://schemas.openxmlformats.org/officeDocument/2006/relationships" ref="H123" r:id="rId111"/>
    <hyperlink xmlns:r="http://schemas.openxmlformats.org/officeDocument/2006/relationships" ref="H124" r:id="rId112"/>
    <hyperlink xmlns:r="http://schemas.openxmlformats.org/officeDocument/2006/relationships" ref="H125" r:id="rId113"/>
    <hyperlink xmlns:r="http://schemas.openxmlformats.org/officeDocument/2006/relationships" ref="H126" r:id="rId114"/>
    <hyperlink xmlns:r="http://schemas.openxmlformats.org/officeDocument/2006/relationships" ref="H127" r:id="rId115"/>
    <hyperlink xmlns:r="http://schemas.openxmlformats.org/officeDocument/2006/relationships" ref="H128" r:id="rId116"/>
    <hyperlink xmlns:r="http://schemas.openxmlformats.org/officeDocument/2006/relationships" ref="H129" r:id="rId117"/>
    <hyperlink xmlns:r="http://schemas.openxmlformats.org/officeDocument/2006/relationships" ref="H130" r:id="rId118"/>
    <hyperlink xmlns:r="http://schemas.openxmlformats.org/officeDocument/2006/relationships" ref="H131" r:id="rId119"/>
    <hyperlink xmlns:r="http://schemas.openxmlformats.org/officeDocument/2006/relationships" ref="H134" r:id="rId120"/>
    <hyperlink xmlns:r="http://schemas.openxmlformats.org/officeDocument/2006/relationships" ref="H135" r:id="rId121"/>
    <hyperlink xmlns:r="http://schemas.openxmlformats.org/officeDocument/2006/relationships" ref="H136" r:id="rId122"/>
    <hyperlink xmlns:r="http://schemas.openxmlformats.org/officeDocument/2006/relationships" ref="H137" r:id="rId123"/>
    <hyperlink xmlns:r="http://schemas.openxmlformats.org/officeDocument/2006/relationships" ref="H138" r:id="rId124"/>
    <hyperlink xmlns:r="http://schemas.openxmlformats.org/officeDocument/2006/relationships" ref="H139" r:id="rId125"/>
    <hyperlink xmlns:r="http://schemas.openxmlformats.org/officeDocument/2006/relationships" ref="H140" r:id="rId126"/>
    <hyperlink xmlns:r="http://schemas.openxmlformats.org/officeDocument/2006/relationships" ref="H141" r:id="rId127"/>
    <hyperlink xmlns:r="http://schemas.openxmlformats.org/officeDocument/2006/relationships" ref="H142" r:id="rId128"/>
    <hyperlink xmlns:r="http://schemas.openxmlformats.org/officeDocument/2006/relationships" ref="H143" r:id="rId129"/>
    <hyperlink xmlns:r="http://schemas.openxmlformats.org/officeDocument/2006/relationships" ref="H144" r:id="rId130"/>
    <hyperlink xmlns:r="http://schemas.openxmlformats.org/officeDocument/2006/relationships" ref="H145" r:id="rId131"/>
    <hyperlink xmlns:r="http://schemas.openxmlformats.org/officeDocument/2006/relationships" ref="H146" r:id="rId132"/>
    <hyperlink xmlns:r="http://schemas.openxmlformats.org/officeDocument/2006/relationships" ref="H147" r:id="rId133"/>
    <hyperlink xmlns:r="http://schemas.openxmlformats.org/officeDocument/2006/relationships" ref="H148" r:id="rId134"/>
    <hyperlink xmlns:r="http://schemas.openxmlformats.org/officeDocument/2006/relationships" ref="H149" r:id="rId135"/>
    <hyperlink xmlns:r="http://schemas.openxmlformats.org/officeDocument/2006/relationships" ref="H150" r:id="rId136"/>
    <hyperlink xmlns:r="http://schemas.openxmlformats.org/officeDocument/2006/relationships" ref="H151" r:id="rId137"/>
    <hyperlink xmlns:r="http://schemas.openxmlformats.org/officeDocument/2006/relationships" ref="H152" r:id="rId138"/>
    <hyperlink xmlns:r="http://schemas.openxmlformats.org/officeDocument/2006/relationships" ref="H153" r:id="rId139"/>
    <hyperlink xmlns:r="http://schemas.openxmlformats.org/officeDocument/2006/relationships" ref="H154" r:id="rId140"/>
    <hyperlink xmlns:r="http://schemas.openxmlformats.org/officeDocument/2006/relationships" ref="H155" r:id="rId141"/>
    <hyperlink xmlns:r="http://schemas.openxmlformats.org/officeDocument/2006/relationships" ref="H156" r:id="rId142"/>
    <hyperlink xmlns:r="http://schemas.openxmlformats.org/officeDocument/2006/relationships" ref="H157" r:id="rId143"/>
    <hyperlink xmlns:r="http://schemas.openxmlformats.org/officeDocument/2006/relationships" ref="H158" r:id="rId144"/>
    <hyperlink xmlns:r="http://schemas.openxmlformats.org/officeDocument/2006/relationships" ref="H159" r:id="rId145"/>
    <hyperlink xmlns:r="http://schemas.openxmlformats.org/officeDocument/2006/relationships" ref="H160" r:id="rId146"/>
    <hyperlink xmlns:r="http://schemas.openxmlformats.org/officeDocument/2006/relationships" ref="H161" r:id="rId147"/>
    <hyperlink xmlns:r="http://schemas.openxmlformats.org/officeDocument/2006/relationships" ref="H162" r:id="rId148"/>
    <hyperlink xmlns:r="http://schemas.openxmlformats.org/officeDocument/2006/relationships" ref="H163" r:id="rId149"/>
    <hyperlink xmlns:r="http://schemas.openxmlformats.org/officeDocument/2006/relationships" ref="H164" r:id="rId150"/>
    <hyperlink xmlns:r="http://schemas.openxmlformats.org/officeDocument/2006/relationships" ref="H167" r:id="rId151"/>
    <hyperlink xmlns:r="http://schemas.openxmlformats.org/officeDocument/2006/relationships" ref="H168" r:id="rId152"/>
    <hyperlink xmlns:r="http://schemas.openxmlformats.org/officeDocument/2006/relationships" ref="H169" r:id="rId153"/>
    <hyperlink xmlns:r="http://schemas.openxmlformats.org/officeDocument/2006/relationships" ref="H170" r:id="rId154"/>
    <hyperlink xmlns:r="http://schemas.openxmlformats.org/officeDocument/2006/relationships" ref="H171" r:id="rId155"/>
    <hyperlink xmlns:r="http://schemas.openxmlformats.org/officeDocument/2006/relationships" ref="H172" r:id="rId156"/>
    <hyperlink xmlns:r="http://schemas.openxmlformats.org/officeDocument/2006/relationships" ref="H173" r:id="rId157"/>
    <hyperlink xmlns:r="http://schemas.openxmlformats.org/officeDocument/2006/relationships" ref="H174" r:id="rId158"/>
    <hyperlink xmlns:r="http://schemas.openxmlformats.org/officeDocument/2006/relationships" ref="H175" r:id="rId159"/>
    <hyperlink xmlns:r="http://schemas.openxmlformats.org/officeDocument/2006/relationships" ref="H176" r:id="rId160"/>
    <hyperlink xmlns:r="http://schemas.openxmlformats.org/officeDocument/2006/relationships" ref="H177" r:id="rId161"/>
    <hyperlink xmlns:r="http://schemas.openxmlformats.org/officeDocument/2006/relationships" ref="H178" r:id="rId162"/>
    <hyperlink xmlns:r="http://schemas.openxmlformats.org/officeDocument/2006/relationships" ref="H179" r:id="rId163"/>
    <hyperlink xmlns:r="http://schemas.openxmlformats.org/officeDocument/2006/relationships" ref="H180" r:id="rId164"/>
    <hyperlink xmlns:r="http://schemas.openxmlformats.org/officeDocument/2006/relationships" ref="H181" r:id="rId165"/>
    <hyperlink xmlns:r="http://schemas.openxmlformats.org/officeDocument/2006/relationships" ref="H182" r:id="rId166"/>
    <hyperlink xmlns:r="http://schemas.openxmlformats.org/officeDocument/2006/relationships" ref="H183" r:id="rId167"/>
    <hyperlink xmlns:r="http://schemas.openxmlformats.org/officeDocument/2006/relationships" ref="H184" r:id="rId168"/>
    <hyperlink xmlns:r="http://schemas.openxmlformats.org/officeDocument/2006/relationships" ref="H185" r:id="rId169"/>
    <hyperlink xmlns:r="http://schemas.openxmlformats.org/officeDocument/2006/relationships" ref="H186" r:id="rId170"/>
    <hyperlink xmlns:r="http://schemas.openxmlformats.org/officeDocument/2006/relationships" ref="H189" r:id="rId171"/>
    <hyperlink xmlns:r="http://schemas.openxmlformats.org/officeDocument/2006/relationships" ref="H190" r:id="rId172"/>
    <hyperlink xmlns:r="http://schemas.openxmlformats.org/officeDocument/2006/relationships" ref="H191" r:id="rId173"/>
    <hyperlink xmlns:r="http://schemas.openxmlformats.org/officeDocument/2006/relationships" ref="H192" r:id="rId174"/>
    <hyperlink xmlns:r="http://schemas.openxmlformats.org/officeDocument/2006/relationships" ref="H193" r:id="rId175"/>
    <hyperlink xmlns:r="http://schemas.openxmlformats.org/officeDocument/2006/relationships" ref="H194" r:id="rId176"/>
    <hyperlink xmlns:r="http://schemas.openxmlformats.org/officeDocument/2006/relationships" ref="H197" r:id="rId177"/>
    <hyperlink xmlns:r="http://schemas.openxmlformats.org/officeDocument/2006/relationships" ref="H198" r:id="rId178"/>
    <hyperlink xmlns:r="http://schemas.openxmlformats.org/officeDocument/2006/relationships" ref="H199" r:id="rId179"/>
    <hyperlink xmlns:r="http://schemas.openxmlformats.org/officeDocument/2006/relationships" ref="H200" r:id="rId180"/>
    <hyperlink xmlns:r="http://schemas.openxmlformats.org/officeDocument/2006/relationships" ref="H201" r:id="rId181"/>
    <hyperlink xmlns:r="http://schemas.openxmlformats.org/officeDocument/2006/relationships" ref="H202" r:id="rId182"/>
    <hyperlink xmlns:r="http://schemas.openxmlformats.org/officeDocument/2006/relationships" ref="H203" r:id="rId183"/>
    <hyperlink xmlns:r="http://schemas.openxmlformats.org/officeDocument/2006/relationships" ref="H204" r:id="rId184"/>
    <hyperlink xmlns:r="http://schemas.openxmlformats.org/officeDocument/2006/relationships" ref="H205" r:id="rId185"/>
    <hyperlink xmlns:r="http://schemas.openxmlformats.org/officeDocument/2006/relationships" ref="H206" r:id="rId186"/>
    <hyperlink xmlns:r="http://schemas.openxmlformats.org/officeDocument/2006/relationships" ref="H207" r:id="rId187"/>
    <hyperlink xmlns:r="http://schemas.openxmlformats.org/officeDocument/2006/relationships" ref="H208" r:id="rId188"/>
    <hyperlink xmlns:r="http://schemas.openxmlformats.org/officeDocument/2006/relationships" ref="H209" r:id="rId189"/>
    <hyperlink xmlns:r="http://schemas.openxmlformats.org/officeDocument/2006/relationships" ref="H210" r:id="rId190"/>
    <hyperlink xmlns:r="http://schemas.openxmlformats.org/officeDocument/2006/relationships" ref="H211" r:id="rId191"/>
    <hyperlink xmlns:r="http://schemas.openxmlformats.org/officeDocument/2006/relationships" ref="H212" r:id="rId192"/>
    <hyperlink xmlns:r="http://schemas.openxmlformats.org/officeDocument/2006/relationships" ref="H213" r:id="rId193"/>
    <hyperlink xmlns:r="http://schemas.openxmlformats.org/officeDocument/2006/relationships" ref="H214" r:id="rId194"/>
    <hyperlink xmlns:r="http://schemas.openxmlformats.org/officeDocument/2006/relationships" ref="H215" r:id="rId195"/>
    <hyperlink xmlns:r="http://schemas.openxmlformats.org/officeDocument/2006/relationships" ref="H216" r:id="rId196"/>
    <hyperlink xmlns:r="http://schemas.openxmlformats.org/officeDocument/2006/relationships" ref="H217" r:id="rId197"/>
    <hyperlink xmlns:r="http://schemas.openxmlformats.org/officeDocument/2006/relationships" ref="H218" r:id="rId198"/>
    <hyperlink xmlns:r="http://schemas.openxmlformats.org/officeDocument/2006/relationships" ref="H219" r:id="rId199"/>
    <hyperlink xmlns:r="http://schemas.openxmlformats.org/officeDocument/2006/relationships" ref="H220" r:id="rId200"/>
    <hyperlink xmlns:r="http://schemas.openxmlformats.org/officeDocument/2006/relationships" ref="H221" r:id="rId201"/>
    <hyperlink xmlns:r="http://schemas.openxmlformats.org/officeDocument/2006/relationships" ref="H222" r:id="rId202"/>
    <hyperlink xmlns:r="http://schemas.openxmlformats.org/officeDocument/2006/relationships" ref="H223" r:id="rId203"/>
    <hyperlink xmlns:r="http://schemas.openxmlformats.org/officeDocument/2006/relationships" ref="H224" r:id="rId204"/>
    <hyperlink xmlns:r="http://schemas.openxmlformats.org/officeDocument/2006/relationships" ref="H225" r:id="rId205"/>
    <hyperlink xmlns:r="http://schemas.openxmlformats.org/officeDocument/2006/relationships" ref="H226" r:id="rId206"/>
    <hyperlink xmlns:r="http://schemas.openxmlformats.org/officeDocument/2006/relationships" ref="H227" r:id="rId207"/>
    <hyperlink xmlns:r="http://schemas.openxmlformats.org/officeDocument/2006/relationships" ref="H228" r:id="rId208"/>
    <hyperlink xmlns:r="http://schemas.openxmlformats.org/officeDocument/2006/relationships" ref="H229" r:id="rId209"/>
    <hyperlink xmlns:r="http://schemas.openxmlformats.org/officeDocument/2006/relationships" ref="H230" r:id="rId210"/>
    <hyperlink xmlns:r="http://schemas.openxmlformats.org/officeDocument/2006/relationships" ref="H231" r:id="rId211"/>
    <hyperlink xmlns:r="http://schemas.openxmlformats.org/officeDocument/2006/relationships" ref="H232" r:id="rId212"/>
    <hyperlink xmlns:r="http://schemas.openxmlformats.org/officeDocument/2006/relationships" ref="H233" r:id="rId213"/>
    <hyperlink xmlns:r="http://schemas.openxmlformats.org/officeDocument/2006/relationships" ref="H234" r:id="rId214"/>
    <hyperlink xmlns:r="http://schemas.openxmlformats.org/officeDocument/2006/relationships" ref="H235" r:id="rId215"/>
    <hyperlink xmlns:r="http://schemas.openxmlformats.org/officeDocument/2006/relationships" ref="H236" r:id="rId216"/>
    <hyperlink xmlns:r="http://schemas.openxmlformats.org/officeDocument/2006/relationships" ref="H237" r:id="rId217"/>
    <hyperlink xmlns:r="http://schemas.openxmlformats.org/officeDocument/2006/relationships" ref="H238" r:id="rId218"/>
    <hyperlink xmlns:r="http://schemas.openxmlformats.org/officeDocument/2006/relationships" ref="H239" r:id="rId219"/>
    <hyperlink xmlns:r="http://schemas.openxmlformats.org/officeDocument/2006/relationships" ref="H240" r:id="rId220"/>
    <hyperlink xmlns:r="http://schemas.openxmlformats.org/officeDocument/2006/relationships" ref="H241" r:id="rId221"/>
    <hyperlink xmlns:r="http://schemas.openxmlformats.org/officeDocument/2006/relationships" ref="H242" r:id="rId222"/>
    <hyperlink xmlns:r="http://schemas.openxmlformats.org/officeDocument/2006/relationships" ref="H243" r:id="rId223"/>
    <hyperlink xmlns:r="http://schemas.openxmlformats.org/officeDocument/2006/relationships" ref="H244" r:id="rId224"/>
    <hyperlink xmlns:r="http://schemas.openxmlformats.org/officeDocument/2006/relationships" ref="H245" r:id="rId225"/>
    <hyperlink xmlns:r="http://schemas.openxmlformats.org/officeDocument/2006/relationships" ref="H248" r:id="rId226"/>
    <hyperlink xmlns:r="http://schemas.openxmlformats.org/officeDocument/2006/relationships" ref="H249" r:id="rId227"/>
    <hyperlink xmlns:r="http://schemas.openxmlformats.org/officeDocument/2006/relationships" ref="H250" r:id="rId228"/>
    <hyperlink xmlns:r="http://schemas.openxmlformats.org/officeDocument/2006/relationships" ref="H251" r:id="rId229"/>
    <hyperlink xmlns:r="http://schemas.openxmlformats.org/officeDocument/2006/relationships" ref="H252" r:id="rId230"/>
    <hyperlink xmlns:r="http://schemas.openxmlformats.org/officeDocument/2006/relationships" ref="H253" r:id="rId231"/>
    <hyperlink xmlns:r="http://schemas.openxmlformats.org/officeDocument/2006/relationships" ref="H254" r:id="rId232"/>
    <hyperlink xmlns:r="http://schemas.openxmlformats.org/officeDocument/2006/relationships" ref="H255" r:id="rId233"/>
    <hyperlink xmlns:r="http://schemas.openxmlformats.org/officeDocument/2006/relationships" ref="H256" r:id="rId234"/>
    <hyperlink xmlns:r="http://schemas.openxmlformats.org/officeDocument/2006/relationships" ref="H257" r:id="rId2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Ticker</t>
        </is>
      </c>
      <c r="B1" s="8" t="inlineStr">
        <is>
          <t>Company</t>
        </is>
      </c>
      <c r="C1" s="8" t="inlineStr">
        <is>
          <t>Date -2</t>
        </is>
      </c>
      <c r="D1" s="8" t="inlineStr">
        <is>
          <t>Date -1</t>
        </is>
      </c>
      <c r="E1" s="8" t="inlineStr">
        <is>
          <t>Today</t>
        </is>
      </c>
      <c r="F1" s="8" t="inlineStr">
        <is>
          <t>Trend</t>
        </is>
      </c>
      <c r="G1" s="8" t="inlineStr">
        <is>
          <t>Change</t>
        </is>
      </c>
    </row>
    <row r="2">
      <c r="A2" t="inlineStr">
        <is>
          <t>AAPL</t>
        </is>
      </c>
      <c r="B2" t="inlineStr">
        <is>
          <t>Apple Inc</t>
        </is>
      </c>
      <c r="C2" t="inlineStr"/>
      <c r="D2" t="n">
        <v>0.2732</v>
      </c>
      <c r="E2" t="inlineStr"/>
      <c r="F2" t="inlineStr">
        <is>
          <t>-</t>
        </is>
      </c>
      <c r="G2" t="inlineStr"/>
    </row>
    <row r="3">
      <c r="A3" t="inlineStr">
        <is>
          <t>ABBV</t>
        </is>
      </c>
      <c r="B3" t="inlineStr">
        <is>
          <t>AbbVie Inc</t>
        </is>
      </c>
      <c r="C3" t="inlineStr"/>
      <c r="D3" t="n">
        <v>0.6562</v>
      </c>
      <c r="E3" t="inlineStr"/>
      <c r="F3" t="inlineStr">
        <is>
          <t>-</t>
        </is>
      </c>
      <c r="G3" t="inlineStr"/>
    </row>
    <row r="4">
      <c r="A4" t="inlineStr">
        <is>
          <t>AMD</t>
        </is>
      </c>
      <c r="B4" t="inlineStr">
        <is>
          <t>Advanced Micro Devices Inc</t>
        </is>
      </c>
      <c r="C4" t="inlineStr"/>
      <c r="D4" t="n">
        <v>0.4883</v>
      </c>
      <c r="E4" t="inlineStr"/>
      <c r="F4" t="inlineStr">
        <is>
          <t>-</t>
        </is>
      </c>
      <c r="G4" t="inlineStr"/>
    </row>
    <row r="5">
      <c r="A5" t="inlineStr">
        <is>
          <t>AMGN</t>
        </is>
      </c>
      <c r="B5" t="inlineStr">
        <is>
          <t>Amgen Inc</t>
        </is>
      </c>
      <c r="C5" t="inlineStr"/>
      <c r="D5" t="n">
        <v>0.3433</v>
      </c>
      <c r="E5" t="inlineStr"/>
      <c r="F5" t="inlineStr">
        <is>
          <t>-</t>
        </is>
      </c>
      <c r="G5" t="inlineStr"/>
    </row>
    <row r="6">
      <c r="A6" t="inlineStr">
        <is>
          <t>AMT</t>
        </is>
      </c>
      <c r="B6" t="inlineStr">
        <is>
          <t>American Tower Corp</t>
        </is>
      </c>
      <c r="C6" t="inlineStr"/>
      <c r="D6" t="n">
        <v>0.3234</v>
      </c>
      <c r="E6" t="inlineStr"/>
      <c r="F6" t="inlineStr">
        <is>
          <t>-</t>
        </is>
      </c>
      <c r="G6" t="inlineStr"/>
    </row>
    <row r="7">
      <c r="A7" t="inlineStr">
        <is>
          <t>AMZN</t>
        </is>
      </c>
      <c r="B7" t="inlineStr">
        <is>
          <t>Amazon.com Inc</t>
        </is>
      </c>
      <c r="C7" t="inlineStr"/>
      <c r="D7" t="n">
        <v>0.2443</v>
      </c>
      <c r="E7" t="inlineStr"/>
      <c r="F7" t="inlineStr">
        <is>
          <t>-</t>
        </is>
      </c>
      <c r="G7" t="inlineStr"/>
    </row>
    <row r="8">
      <c r="A8" t="inlineStr">
        <is>
          <t>APD</t>
        </is>
      </c>
      <c r="B8" t="inlineStr">
        <is>
          <t>Air Products and Chemicals Inc</t>
        </is>
      </c>
      <c r="C8" t="inlineStr"/>
      <c r="D8" t="n">
        <v>0.5382</v>
      </c>
      <c r="E8" t="inlineStr"/>
      <c r="F8" t="inlineStr">
        <is>
          <t>-</t>
        </is>
      </c>
      <c r="G8" t="inlineStr"/>
    </row>
    <row r="9">
      <c r="A9" t="inlineStr">
        <is>
          <t>AVGO</t>
        </is>
      </c>
      <c r="B9" t="inlineStr">
        <is>
          <t>Broadcom Inc</t>
        </is>
      </c>
      <c r="C9" t="inlineStr"/>
      <c r="D9" t="n">
        <v>0.6233</v>
      </c>
      <c r="E9" t="inlineStr"/>
      <c r="F9" t="inlineStr">
        <is>
          <t>-</t>
        </is>
      </c>
      <c r="G9" t="inlineStr"/>
    </row>
    <row r="10">
      <c r="A10" t="inlineStr">
        <is>
          <t>AXP</t>
        </is>
      </c>
      <c r="B10" t="inlineStr">
        <is>
          <t>American Express Co</t>
        </is>
      </c>
      <c r="C10" t="inlineStr"/>
      <c r="D10" t="n">
        <v>0.476</v>
      </c>
      <c r="E10" t="inlineStr"/>
      <c r="F10" t="inlineStr">
        <is>
          <t>-</t>
        </is>
      </c>
      <c r="G10" t="inlineStr"/>
    </row>
    <row r="11">
      <c r="A11" t="inlineStr">
        <is>
          <t>BA</t>
        </is>
      </c>
      <c r="B11" t="inlineStr">
        <is>
          <t>Boeing Co</t>
        </is>
      </c>
      <c r="C11" t="inlineStr"/>
      <c r="D11" t="n">
        <v>0.1903</v>
      </c>
      <c r="E11" t="inlineStr"/>
      <c r="F11" t="inlineStr">
        <is>
          <t>-</t>
        </is>
      </c>
      <c r="G11" t="inlineStr"/>
    </row>
    <row r="12">
      <c r="A12" t="inlineStr">
        <is>
          <t>BAC</t>
        </is>
      </c>
      <c r="B12" t="inlineStr">
        <is>
          <t>Bank of America Corp</t>
        </is>
      </c>
      <c r="C12" t="inlineStr"/>
      <c r="D12" t="n">
        <v>0.2126</v>
      </c>
      <c r="E12" t="inlineStr"/>
      <c r="F12" t="inlineStr">
        <is>
          <t>-</t>
        </is>
      </c>
      <c r="G12" t="inlineStr"/>
    </row>
    <row r="13">
      <c r="A13" t="inlineStr">
        <is>
          <t>BKNG</t>
        </is>
      </c>
      <c r="B13" t="inlineStr">
        <is>
          <t>Booking Holdings Inc</t>
        </is>
      </c>
      <c r="C13" t="inlineStr"/>
      <c r="D13" t="n">
        <v>0.3002</v>
      </c>
      <c r="E13" t="inlineStr"/>
      <c r="F13" t="inlineStr">
        <is>
          <t>-</t>
        </is>
      </c>
      <c r="G13" t="inlineStr"/>
    </row>
    <row r="14">
      <c r="A14" t="inlineStr">
        <is>
          <t>BKR</t>
        </is>
      </c>
      <c r="B14" t="inlineStr">
        <is>
          <t>Baker Hughes Co Class A</t>
        </is>
      </c>
      <c r="C14" t="inlineStr"/>
      <c r="D14" t="n">
        <v>0.5867</v>
      </c>
      <c r="E14" t="inlineStr"/>
      <c r="F14" t="inlineStr">
        <is>
          <t>-</t>
        </is>
      </c>
      <c r="G14" t="inlineStr"/>
    </row>
    <row r="15">
      <c r="A15" t="inlineStr">
        <is>
          <t>BRK-B</t>
        </is>
      </c>
      <c r="B15" t="inlineStr">
        <is>
          <t>Berkshire Hathaway Inc Class B</t>
        </is>
      </c>
      <c r="C15" t="inlineStr"/>
      <c r="D15" t="n">
        <v>0.2755</v>
      </c>
      <c r="E15" t="inlineStr"/>
      <c r="F15" t="inlineStr">
        <is>
          <t>-</t>
        </is>
      </c>
      <c r="G15" t="inlineStr"/>
    </row>
    <row r="16">
      <c r="A16" t="inlineStr">
        <is>
          <t>CAT</t>
        </is>
      </c>
      <c r="B16" t="inlineStr">
        <is>
          <t>Caterpillar Inc</t>
        </is>
      </c>
      <c r="C16" t="inlineStr"/>
      <c r="D16" t="n">
        <v>0.4555</v>
      </c>
      <c r="E16" t="inlineStr"/>
      <c r="F16" t="inlineStr">
        <is>
          <t>-</t>
        </is>
      </c>
      <c r="G16" t="inlineStr"/>
    </row>
    <row r="17">
      <c r="A17" t="inlineStr">
        <is>
          <t>COP</t>
        </is>
      </c>
      <c r="B17" t="inlineStr">
        <is>
          <t>ConocoPhillips</t>
        </is>
      </c>
      <c r="C17" t="inlineStr"/>
      <c r="D17" t="n">
        <v>0.2794</v>
      </c>
      <c r="E17" t="inlineStr"/>
      <c r="F17" t="inlineStr">
        <is>
          <t>-</t>
        </is>
      </c>
      <c r="G17" t="inlineStr"/>
    </row>
    <row r="18">
      <c r="A18" t="inlineStr">
        <is>
          <t>COST</t>
        </is>
      </c>
      <c r="B18" t="inlineStr">
        <is>
          <t>Costco Wholesale Corp</t>
        </is>
      </c>
      <c r="C18" t="inlineStr"/>
      <c r="D18" t="n">
        <v>0.3926</v>
      </c>
      <c r="E18" t="inlineStr"/>
      <c r="F18" t="inlineStr">
        <is>
          <t>-</t>
        </is>
      </c>
      <c r="G18" t="inlineStr"/>
    </row>
    <row r="19">
      <c r="A19" t="inlineStr">
        <is>
          <t>CRH</t>
        </is>
      </c>
      <c r="B19" t="inlineStr">
        <is>
          <t>CRH PLC</t>
        </is>
      </c>
      <c r="C19" t="inlineStr"/>
      <c r="D19" t="n">
        <v>0.5465</v>
      </c>
      <c r="E19" t="inlineStr"/>
      <c r="F19" t="inlineStr">
        <is>
          <t>-</t>
        </is>
      </c>
      <c r="G19" t="inlineStr"/>
    </row>
    <row r="20">
      <c r="A20" t="inlineStr">
        <is>
          <t>CSCO</t>
        </is>
      </c>
      <c r="B20" t="inlineStr">
        <is>
          <t>Cisco Systems Inc</t>
        </is>
      </c>
      <c r="C20" t="inlineStr"/>
      <c r="D20" t="n">
        <v>0.4635</v>
      </c>
      <c r="E20" t="inlineStr"/>
      <c r="F20" t="inlineStr">
        <is>
          <t>-</t>
        </is>
      </c>
      <c r="G20" t="inlineStr"/>
    </row>
    <row r="21">
      <c r="A21" t="inlineStr">
        <is>
          <t>CVX</t>
        </is>
      </c>
      <c r="B21" t="inlineStr">
        <is>
          <t>Chevron Corp</t>
        </is>
      </c>
      <c r="C21" t="inlineStr"/>
      <c r="D21" t="n">
        <v>0.793</v>
      </c>
      <c r="E21" t="inlineStr"/>
      <c r="F21" t="inlineStr">
        <is>
          <t>-</t>
        </is>
      </c>
      <c r="G21" t="inlineStr"/>
    </row>
    <row r="22">
      <c r="A22" t="inlineStr">
        <is>
          <t>DE</t>
        </is>
      </c>
      <c r="B22" t="inlineStr">
        <is>
          <t>Deere &amp; Co</t>
        </is>
      </c>
      <c r="C22" t="inlineStr"/>
      <c r="D22" t="n">
        <v>0.1384</v>
      </c>
      <c r="E22" t="inlineStr"/>
      <c r="F22" t="inlineStr">
        <is>
          <t>-</t>
        </is>
      </c>
      <c r="G22" t="inlineStr"/>
    </row>
    <row r="23">
      <c r="A23" t="inlineStr">
        <is>
          <t>DIS</t>
        </is>
      </c>
      <c r="B23" t="inlineStr">
        <is>
          <t>The Walt Disney Co</t>
        </is>
      </c>
      <c r="C23" t="inlineStr"/>
      <c r="D23" t="n">
        <v>0.4259</v>
      </c>
      <c r="E23" t="inlineStr"/>
      <c r="F23" t="inlineStr">
        <is>
          <t>-</t>
        </is>
      </c>
      <c r="G23" t="inlineStr"/>
    </row>
    <row r="24">
      <c r="A24" t="inlineStr">
        <is>
          <t>DLR</t>
        </is>
      </c>
      <c r="B24" t="inlineStr">
        <is>
          <t>Digital Realty Trust Inc</t>
        </is>
      </c>
      <c r="C24" t="inlineStr"/>
      <c r="D24" t="n">
        <v>0.2887</v>
      </c>
      <c r="E24" t="inlineStr"/>
      <c r="F24" t="inlineStr">
        <is>
          <t>-</t>
        </is>
      </c>
      <c r="G24" t="inlineStr"/>
    </row>
    <row r="25">
      <c r="A25" t="inlineStr">
        <is>
          <t>ECL</t>
        </is>
      </c>
      <c r="B25" t="inlineStr">
        <is>
          <t>Ecolab Inc</t>
        </is>
      </c>
      <c r="C25" t="inlineStr"/>
      <c r="D25" t="n">
        <v>0.5487</v>
      </c>
      <c r="E25" t="inlineStr"/>
      <c r="F25" t="inlineStr">
        <is>
          <t>-</t>
        </is>
      </c>
      <c r="G25" t="inlineStr"/>
    </row>
    <row r="26">
      <c r="A26" t="inlineStr">
        <is>
          <t>EOG</t>
        </is>
      </c>
      <c r="B26" t="inlineStr">
        <is>
          <t>EOG Resources Inc</t>
        </is>
      </c>
      <c r="C26" t="inlineStr"/>
      <c r="D26" t="n">
        <v>0.5555</v>
      </c>
      <c r="E26" t="inlineStr"/>
      <c r="F26" t="inlineStr">
        <is>
          <t>-</t>
        </is>
      </c>
      <c r="G26" t="inlineStr"/>
    </row>
    <row r="27">
      <c r="A27" t="inlineStr">
        <is>
          <t>EXC</t>
        </is>
      </c>
      <c r="B27" t="inlineStr">
        <is>
          <t>Exelon Corp</t>
        </is>
      </c>
      <c r="C27" t="inlineStr"/>
      <c r="D27" t="n">
        <v>0.6866</v>
      </c>
      <c r="E27" t="inlineStr"/>
      <c r="F27" t="inlineStr">
        <is>
          <t>-</t>
        </is>
      </c>
      <c r="G27" t="inlineStr"/>
    </row>
    <row r="28">
      <c r="A28" t="inlineStr">
        <is>
          <t>FCX</t>
        </is>
      </c>
      <c r="B28" t="inlineStr">
        <is>
          <t>Freeport-McMoRan Inc</t>
        </is>
      </c>
      <c r="C28" t="inlineStr"/>
      <c r="D28" t="n">
        <v>0.6528</v>
      </c>
      <c r="E28" t="inlineStr"/>
      <c r="F28" t="inlineStr">
        <is>
          <t>-</t>
        </is>
      </c>
      <c r="G28" t="inlineStr"/>
    </row>
    <row r="29">
      <c r="A29" t="inlineStr">
        <is>
          <t>GE</t>
        </is>
      </c>
      <c r="B29" t="inlineStr">
        <is>
          <t>GE Aerospace</t>
        </is>
      </c>
      <c r="C29" t="inlineStr"/>
      <c r="D29" t="n">
        <v>0.4017</v>
      </c>
      <c r="E29" t="inlineStr"/>
      <c r="F29" t="inlineStr">
        <is>
          <t>-</t>
        </is>
      </c>
      <c r="G29" t="inlineStr"/>
    </row>
    <row r="30">
      <c r="A30" t="inlineStr">
        <is>
          <t>GEV</t>
        </is>
      </c>
      <c r="B30" t="inlineStr">
        <is>
          <t>GE Vernova Inc</t>
        </is>
      </c>
      <c r="C30" t="inlineStr"/>
      <c r="D30" t="n">
        <v>0.5471</v>
      </c>
      <c r="E30" t="inlineStr"/>
      <c r="F30" t="inlineStr">
        <is>
          <t>-</t>
        </is>
      </c>
      <c r="G30" t="inlineStr"/>
    </row>
    <row r="31">
      <c r="A31" t="inlineStr">
        <is>
          <t>GILD</t>
        </is>
      </c>
      <c r="B31" t="inlineStr">
        <is>
          <t>Gilead Sciences Inc</t>
        </is>
      </c>
      <c r="C31" t="inlineStr"/>
      <c r="D31" t="n">
        <v>0.544</v>
      </c>
      <c r="E31" t="inlineStr"/>
      <c r="F31" t="inlineStr">
        <is>
          <t>-</t>
        </is>
      </c>
      <c r="G31" t="inlineStr"/>
    </row>
    <row r="32">
      <c r="A32" t="inlineStr">
        <is>
          <t>GS</t>
        </is>
      </c>
      <c r="B32" t="inlineStr">
        <is>
          <t>The Goldman Sachs Group Inc</t>
        </is>
      </c>
      <c r="C32" t="inlineStr"/>
      <c r="D32" t="n">
        <v>0.3834</v>
      </c>
      <c r="E32" t="inlineStr"/>
      <c r="F32" t="inlineStr">
        <is>
          <t>-</t>
        </is>
      </c>
      <c r="G32" t="inlineStr"/>
    </row>
    <row r="33">
      <c r="A33" t="inlineStr">
        <is>
          <t>HON</t>
        </is>
      </c>
      <c r="B33" t="inlineStr">
        <is>
          <t>Honeywell International Inc</t>
        </is>
      </c>
      <c r="C33" t="inlineStr"/>
      <c r="D33" t="n">
        <v>0.3618</v>
      </c>
      <c r="E33" t="inlineStr"/>
      <c r="F33" t="inlineStr">
        <is>
          <t>-</t>
        </is>
      </c>
      <c r="G33" t="inlineStr"/>
    </row>
    <row r="34">
      <c r="A34" t="inlineStr">
        <is>
          <t>IBM</t>
        </is>
      </c>
      <c r="B34" t="inlineStr">
        <is>
          <t>International Business Machines Corp</t>
        </is>
      </c>
      <c r="C34" t="inlineStr"/>
      <c r="D34" t="n">
        <v>0.4974</v>
      </c>
      <c r="E34" t="inlineStr"/>
      <c r="F34" t="inlineStr">
        <is>
          <t>-</t>
        </is>
      </c>
      <c r="G34" t="inlineStr"/>
    </row>
    <row r="35">
      <c r="A35" t="inlineStr">
        <is>
          <t>ISRG</t>
        </is>
      </c>
      <c r="B35" t="inlineStr">
        <is>
          <t>Intuitive Surgical Inc</t>
        </is>
      </c>
      <c r="C35" t="inlineStr"/>
      <c r="D35" t="n">
        <v>0.2443</v>
      </c>
      <c r="E35" t="inlineStr"/>
      <c r="F35" t="inlineStr">
        <is>
          <t>-</t>
        </is>
      </c>
      <c r="G35" t="inlineStr"/>
    </row>
    <row r="36">
      <c r="A36" t="inlineStr">
        <is>
          <t>JNJ</t>
        </is>
      </c>
      <c r="B36" t="inlineStr">
        <is>
          <t>Johnson &amp; Johnson</t>
        </is>
      </c>
      <c r="C36" t="inlineStr"/>
      <c r="D36" t="n">
        <v>0.2896</v>
      </c>
      <c r="E36" t="inlineStr"/>
      <c r="F36" t="inlineStr">
        <is>
          <t>-</t>
        </is>
      </c>
      <c r="G36" t="inlineStr"/>
    </row>
    <row r="37">
      <c r="A37" t="inlineStr">
        <is>
          <t>JPM</t>
        </is>
      </c>
      <c r="B37" t="inlineStr">
        <is>
          <t>JPMorgan Chase &amp; Co</t>
        </is>
      </c>
      <c r="C37" t="inlineStr"/>
      <c r="D37" t="n">
        <v>0.0133</v>
      </c>
      <c r="E37" t="inlineStr"/>
      <c r="F37" t="inlineStr">
        <is>
          <t>-</t>
        </is>
      </c>
      <c r="G37" t="inlineStr"/>
    </row>
    <row r="38">
      <c r="A38" t="inlineStr">
        <is>
          <t>KMI</t>
        </is>
      </c>
      <c r="B38" t="inlineStr">
        <is>
          <t>Kinder Morgan Inc Class P</t>
        </is>
      </c>
      <c r="C38" t="inlineStr"/>
      <c r="D38" t="n">
        <v>0.5227000000000001</v>
      </c>
      <c r="E38" t="inlineStr"/>
      <c r="F38" t="inlineStr">
        <is>
          <t>-</t>
        </is>
      </c>
      <c r="G38" t="inlineStr"/>
    </row>
    <row r="39">
      <c r="A39" t="inlineStr">
        <is>
          <t>KO</t>
        </is>
      </c>
      <c r="B39" t="inlineStr">
        <is>
          <t>Coca-Cola Co</t>
        </is>
      </c>
      <c r="C39" t="inlineStr"/>
      <c r="D39" t="n">
        <v>0.5142</v>
      </c>
      <c r="E39" t="inlineStr"/>
      <c r="F39" t="inlineStr">
        <is>
          <t>-</t>
        </is>
      </c>
      <c r="G39" t="inlineStr"/>
    </row>
    <row r="40">
      <c r="A40" t="inlineStr">
        <is>
          <t>LLY</t>
        </is>
      </c>
      <c r="B40" t="inlineStr">
        <is>
          <t>Eli Lilly and Co</t>
        </is>
      </c>
      <c r="C40" t="inlineStr"/>
      <c r="D40" t="n">
        <v>0.2454</v>
      </c>
      <c r="E40" t="inlineStr"/>
      <c r="F40" t="inlineStr">
        <is>
          <t>-</t>
        </is>
      </c>
      <c r="G40" t="inlineStr"/>
    </row>
    <row r="41">
      <c r="A41" t="inlineStr">
        <is>
          <t>LOW</t>
        </is>
      </c>
      <c r="B41" t="inlineStr">
        <is>
          <t>Lowe's Companies Inc</t>
        </is>
      </c>
      <c r="C41" t="inlineStr"/>
      <c r="D41" t="n">
        <v>0.1825</v>
      </c>
      <c r="E41" t="inlineStr"/>
      <c r="F41" t="inlineStr">
        <is>
          <t>-</t>
        </is>
      </c>
      <c r="G41" t="inlineStr"/>
    </row>
    <row r="42">
      <c r="A42" t="inlineStr">
        <is>
          <t>MA</t>
        </is>
      </c>
      <c r="B42" t="inlineStr">
        <is>
          <t>Mastercard Inc Class A</t>
        </is>
      </c>
      <c r="C42" t="inlineStr"/>
      <c r="D42" t="n">
        <v>0.7664</v>
      </c>
      <c r="E42" t="inlineStr"/>
      <c r="F42" t="inlineStr">
        <is>
          <t>-</t>
        </is>
      </c>
      <c r="G42" t="inlineStr"/>
    </row>
    <row r="43">
      <c r="A43" t="inlineStr">
        <is>
          <t>MCD</t>
        </is>
      </c>
      <c r="B43" t="inlineStr">
        <is>
          <t>McDonald's Corp</t>
        </is>
      </c>
      <c r="C43" t="inlineStr"/>
      <c r="D43" t="n">
        <v>0.4987</v>
      </c>
      <c r="E43" t="inlineStr"/>
      <c r="F43" t="inlineStr">
        <is>
          <t>-</t>
        </is>
      </c>
      <c r="G43" t="inlineStr"/>
    </row>
    <row r="44">
      <c r="A44" t="inlineStr">
        <is>
          <t>META</t>
        </is>
      </c>
      <c r="B44" t="inlineStr">
        <is>
          <t>Meta Platforms Inc Class A</t>
        </is>
      </c>
      <c r="C44" t="inlineStr"/>
      <c r="D44" t="n">
        <v>0.0727</v>
      </c>
      <c r="E44" t="inlineStr"/>
      <c r="F44" t="inlineStr">
        <is>
          <t>-</t>
        </is>
      </c>
      <c r="G44" t="inlineStr"/>
    </row>
    <row r="45">
      <c r="A45" t="inlineStr">
        <is>
          <t>MLM</t>
        </is>
      </c>
      <c r="B45" t="inlineStr">
        <is>
          <t>Martin Marietta Materials Inc</t>
        </is>
      </c>
      <c r="C45" t="inlineStr"/>
      <c r="D45" t="n">
        <v>-0.0672</v>
      </c>
      <c r="E45" t="inlineStr"/>
      <c r="F45" t="inlineStr">
        <is>
          <t>-</t>
        </is>
      </c>
      <c r="G45" t="inlineStr"/>
    </row>
    <row r="46">
      <c r="A46" t="inlineStr">
        <is>
          <t>MNST</t>
        </is>
      </c>
      <c r="B46" t="inlineStr">
        <is>
          <t>Monster Beverage Corp</t>
        </is>
      </c>
      <c r="C46" t="inlineStr"/>
      <c r="D46" t="n">
        <v>0.4583</v>
      </c>
      <c r="E46" t="inlineStr"/>
      <c r="F46" t="inlineStr">
        <is>
          <t>-</t>
        </is>
      </c>
      <c r="G46" t="inlineStr"/>
    </row>
    <row r="47">
      <c r="A47" t="inlineStr">
        <is>
          <t>MRK</t>
        </is>
      </c>
      <c r="B47" t="inlineStr">
        <is>
          <t>Merck &amp; Co Inc</t>
        </is>
      </c>
      <c r="C47" t="inlineStr"/>
      <c r="D47" t="n">
        <v>0.6029</v>
      </c>
      <c r="E47" t="inlineStr"/>
      <c r="F47" t="inlineStr">
        <is>
          <t>-</t>
        </is>
      </c>
      <c r="G47" t="inlineStr"/>
    </row>
    <row r="48">
      <c r="A48" t="inlineStr">
        <is>
          <t>MS</t>
        </is>
      </c>
      <c r="B48" t="inlineStr">
        <is>
          <t>Morgan Stanley</t>
        </is>
      </c>
      <c r="C48" t="inlineStr"/>
      <c r="D48" t="n">
        <v>0.4376</v>
      </c>
      <c r="E48" t="inlineStr"/>
      <c r="F48" t="inlineStr">
        <is>
          <t>-</t>
        </is>
      </c>
      <c r="G48" t="inlineStr"/>
    </row>
    <row r="49">
      <c r="A49" t="inlineStr">
        <is>
          <t>MSFT</t>
        </is>
      </c>
      <c r="B49" t="inlineStr">
        <is>
          <t>Microsoft Corp</t>
        </is>
      </c>
      <c r="C49" t="inlineStr"/>
      <c r="D49" t="n">
        <v>0.2077</v>
      </c>
      <c r="E49" t="inlineStr"/>
      <c r="F49" t="inlineStr">
        <is>
          <t>-</t>
        </is>
      </c>
      <c r="G49" t="inlineStr"/>
    </row>
    <row r="50">
      <c r="A50" t="inlineStr">
        <is>
          <t>MU</t>
        </is>
      </c>
      <c r="B50" t="inlineStr">
        <is>
          <t>Micron Technology Inc</t>
        </is>
      </c>
      <c r="C50" t="inlineStr"/>
      <c r="D50" t="n">
        <v>0.3605</v>
      </c>
      <c r="E50" t="inlineStr"/>
      <c r="F50" t="inlineStr">
        <is>
          <t>-</t>
        </is>
      </c>
      <c r="G50" t="inlineStr"/>
    </row>
    <row r="51">
      <c r="A51" t="inlineStr">
        <is>
          <t>NEM</t>
        </is>
      </c>
      <c r="B51" t="inlineStr">
        <is>
          <t>Newmont Corp</t>
        </is>
      </c>
      <c r="C51" t="inlineStr"/>
      <c r="D51" t="n">
        <v>0.6039</v>
      </c>
      <c r="E51" t="inlineStr"/>
      <c r="F51" t="inlineStr">
        <is>
          <t>-</t>
        </is>
      </c>
      <c r="G51" t="inlineStr"/>
    </row>
    <row r="52">
      <c r="A52" t="inlineStr">
        <is>
          <t>NFLX</t>
        </is>
      </c>
      <c r="B52" t="inlineStr">
        <is>
          <t>Netflix Inc</t>
        </is>
      </c>
      <c r="C52" t="inlineStr"/>
      <c r="D52" t="n">
        <v>0.2314</v>
      </c>
      <c r="E52" t="inlineStr"/>
      <c r="F52" t="inlineStr">
        <is>
          <t>-</t>
        </is>
      </c>
      <c r="G52" t="inlineStr"/>
    </row>
    <row r="53">
      <c r="A53" t="inlineStr">
        <is>
          <t>NVDA</t>
        </is>
      </c>
      <c r="B53" t="inlineStr">
        <is>
          <t>NVIDIA Corp</t>
        </is>
      </c>
      <c r="C53" t="inlineStr"/>
      <c r="D53" t="n">
        <v>0.3287</v>
      </c>
      <c r="E53" t="inlineStr"/>
      <c r="F53" t="inlineStr">
        <is>
          <t>-</t>
        </is>
      </c>
      <c r="G53" t="inlineStr"/>
    </row>
    <row r="54">
      <c r="A54" t="inlineStr">
        <is>
          <t>O</t>
        </is>
      </c>
      <c r="B54" t="inlineStr">
        <is>
          <t>Realty Income Corp</t>
        </is>
      </c>
      <c r="C54" t="inlineStr"/>
      <c r="D54" t="n">
        <v>0.4683</v>
      </c>
      <c r="E54" t="inlineStr"/>
      <c r="F54" t="inlineStr">
        <is>
          <t>-</t>
        </is>
      </c>
      <c r="G54" t="inlineStr"/>
    </row>
    <row r="55">
      <c r="A55" t="inlineStr">
        <is>
          <t>PLD</t>
        </is>
      </c>
      <c r="B55" t="inlineStr">
        <is>
          <t>Prologis Inc</t>
        </is>
      </c>
      <c r="C55" t="inlineStr"/>
      <c r="D55" t="n">
        <v>0.3933</v>
      </c>
      <c r="E55" t="inlineStr"/>
      <c r="F55" t="inlineStr">
        <is>
          <t>-</t>
        </is>
      </c>
      <c r="G55" t="inlineStr"/>
    </row>
    <row r="56">
      <c r="A56" t="inlineStr">
        <is>
          <t>PLTR</t>
        </is>
      </c>
      <c r="B56" t="inlineStr">
        <is>
          <t>Palantir Technologies Inc Ordinary Shares - Class A</t>
        </is>
      </c>
      <c r="C56" t="inlineStr"/>
      <c r="D56" t="n">
        <v>-0.0878</v>
      </c>
      <c r="E56" t="inlineStr"/>
      <c r="F56" t="inlineStr">
        <is>
          <t>-</t>
        </is>
      </c>
      <c r="G56" t="inlineStr"/>
    </row>
    <row r="57">
      <c r="A57" t="inlineStr">
        <is>
          <t>PSX</t>
        </is>
      </c>
      <c r="B57" t="inlineStr">
        <is>
          <t>Phillips 66</t>
        </is>
      </c>
      <c r="C57" t="inlineStr"/>
      <c r="D57" t="n">
        <v>0.0837</v>
      </c>
      <c r="E57" t="inlineStr"/>
      <c r="F57" t="inlineStr">
        <is>
          <t>-</t>
        </is>
      </c>
      <c r="G57" t="inlineStr"/>
    </row>
    <row r="58">
      <c r="A58" t="inlineStr">
        <is>
          <t>RCL</t>
        </is>
      </c>
      <c r="B58" t="inlineStr">
        <is>
          <t>Royal Caribbean Group</t>
        </is>
      </c>
      <c r="C58" t="inlineStr"/>
      <c r="D58" t="n">
        <v>0.0282</v>
      </c>
      <c r="E58" t="inlineStr"/>
      <c r="F58" t="inlineStr">
        <is>
          <t>-</t>
        </is>
      </c>
      <c r="G58" t="inlineStr"/>
    </row>
    <row r="59">
      <c r="A59" t="inlineStr">
        <is>
          <t>RTX</t>
        </is>
      </c>
      <c r="B59" t="inlineStr">
        <is>
          <t>RTX Corp</t>
        </is>
      </c>
      <c r="C59" t="inlineStr"/>
      <c r="D59" t="n">
        <v>0.3623</v>
      </c>
      <c r="E59" t="inlineStr"/>
      <c r="F59" t="inlineStr">
        <is>
          <t>-</t>
        </is>
      </c>
      <c r="G59" t="inlineStr"/>
    </row>
    <row r="60">
      <c r="A60" t="inlineStr">
        <is>
          <t>SBUX</t>
        </is>
      </c>
      <c r="B60" t="inlineStr">
        <is>
          <t>Starbucks Corp</t>
        </is>
      </c>
      <c r="C60" t="inlineStr"/>
      <c r="D60" t="n">
        <v>-0.1476</v>
      </c>
      <c r="E60" t="inlineStr"/>
      <c r="F60" t="inlineStr">
        <is>
          <t>-</t>
        </is>
      </c>
      <c r="G60" t="inlineStr"/>
    </row>
    <row r="61">
      <c r="A61" t="inlineStr">
        <is>
          <t>SO</t>
        </is>
      </c>
      <c r="B61" t="inlineStr">
        <is>
          <t>Southern Co</t>
        </is>
      </c>
      <c r="C61" t="inlineStr"/>
      <c r="D61" t="n">
        <v>0.2273</v>
      </c>
      <c r="E61" t="inlineStr"/>
      <c r="F61" t="inlineStr">
        <is>
          <t>-</t>
        </is>
      </c>
      <c r="G61" t="inlineStr"/>
    </row>
    <row r="62">
      <c r="A62" t="inlineStr">
        <is>
          <t>SRE</t>
        </is>
      </c>
      <c r="B62" t="inlineStr">
        <is>
          <t>Sempra</t>
        </is>
      </c>
      <c r="C62" t="inlineStr"/>
      <c r="D62" t="n">
        <v>-0.0062</v>
      </c>
      <c r="E62" t="inlineStr"/>
      <c r="F62" t="inlineStr">
        <is>
          <t>-</t>
        </is>
      </c>
      <c r="G62" t="inlineStr"/>
    </row>
    <row r="63">
      <c r="A63" t="inlineStr">
        <is>
          <t>T</t>
        </is>
      </c>
      <c r="B63" t="inlineStr">
        <is>
          <t>AT&amp;T Inc</t>
        </is>
      </c>
      <c r="C63" t="inlineStr"/>
      <c r="D63" t="n">
        <v>0.0238</v>
      </c>
      <c r="E63" t="inlineStr"/>
      <c r="F63" t="inlineStr">
        <is>
          <t>-</t>
        </is>
      </c>
      <c r="G63" t="inlineStr"/>
    </row>
    <row r="64">
      <c r="A64" t="inlineStr">
        <is>
          <t>TSLA</t>
        </is>
      </c>
      <c r="B64" t="inlineStr">
        <is>
          <t>Tesla Inc</t>
        </is>
      </c>
      <c r="C64" t="inlineStr"/>
      <c r="D64" t="n">
        <v>0.2718</v>
      </c>
      <c r="E64" t="inlineStr"/>
      <c r="F64" t="inlineStr">
        <is>
          <t>-</t>
        </is>
      </c>
      <c r="G64" t="inlineStr"/>
    </row>
    <row r="65">
      <c r="A65" t="inlineStr">
        <is>
          <t>UBER</t>
        </is>
      </c>
      <c r="B65" t="inlineStr">
        <is>
          <t>Uber Technologies Inc</t>
        </is>
      </c>
      <c r="C65" t="inlineStr"/>
      <c r="D65" t="n">
        <v>0.3628</v>
      </c>
      <c r="E65" t="inlineStr"/>
      <c r="F65" t="inlineStr">
        <is>
          <t>-</t>
        </is>
      </c>
      <c r="G65" t="inlineStr"/>
    </row>
    <row r="66">
      <c r="A66" t="inlineStr">
        <is>
          <t>UNH</t>
        </is>
      </c>
      <c r="B66" t="inlineStr">
        <is>
          <t>UnitedHealth Group Inc</t>
        </is>
      </c>
      <c r="C66" t="inlineStr"/>
      <c r="D66" t="n">
        <v>0.1357</v>
      </c>
      <c r="E66" t="inlineStr"/>
      <c r="F66" t="inlineStr">
        <is>
          <t>-</t>
        </is>
      </c>
      <c r="G66" t="inlineStr"/>
    </row>
    <row r="67">
      <c r="A67" t="inlineStr">
        <is>
          <t>UNP</t>
        </is>
      </c>
      <c r="B67" t="inlineStr">
        <is>
          <t>Union Pacific Corp</t>
        </is>
      </c>
      <c r="C67" t="inlineStr"/>
      <c r="D67" t="n">
        <v>0.3728</v>
      </c>
      <c r="E67" t="inlineStr"/>
      <c r="F67" t="inlineStr">
        <is>
          <t>-</t>
        </is>
      </c>
      <c r="G67" t="inlineStr"/>
    </row>
    <row r="68">
      <c r="A68" t="inlineStr">
        <is>
          <t>V</t>
        </is>
      </c>
      <c r="B68" t="inlineStr">
        <is>
          <t>Visa Inc Class A</t>
        </is>
      </c>
      <c r="C68" t="inlineStr"/>
      <c r="D68" t="n">
        <v>0.5846</v>
      </c>
      <c r="E68" t="inlineStr"/>
      <c r="F68" t="inlineStr">
        <is>
          <t>-</t>
        </is>
      </c>
      <c r="G68" t="inlineStr"/>
    </row>
    <row r="69">
      <c r="A69" t="inlineStr">
        <is>
          <t>VST</t>
        </is>
      </c>
      <c r="B69" t="inlineStr">
        <is>
          <t>Vistra Corp</t>
        </is>
      </c>
      <c r="C69" t="inlineStr"/>
      <c r="D69" t="n">
        <v>0.3869</v>
      </c>
      <c r="E69" t="inlineStr"/>
      <c r="F69" t="inlineStr">
        <is>
          <t>-</t>
        </is>
      </c>
      <c r="G69" t="inlineStr"/>
    </row>
    <row r="70">
      <c r="A70" t="inlineStr">
        <is>
          <t>VZ</t>
        </is>
      </c>
      <c r="B70" t="inlineStr">
        <is>
          <t>Verizon Communications Inc</t>
        </is>
      </c>
      <c r="C70" t="inlineStr"/>
      <c r="D70" t="n">
        <v>-0.0457</v>
      </c>
      <c r="E70" t="inlineStr"/>
      <c r="F70" t="inlineStr">
        <is>
          <t>-</t>
        </is>
      </c>
      <c r="G70" t="inlineStr"/>
    </row>
    <row r="71">
      <c r="A71" t="inlineStr">
        <is>
          <t>WFC</t>
        </is>
      </c>
      <c r="B71" t="inlineStr">
        <is>
          <t>Wells Fargo &amp; Co</t>
        </is>
      </c>
      <c r="C71" t="inlineStr"/>
      <c r="D71" t="n">
        <v>0.3625</v>
      </c>
      <c r="E71" t="inlineStr"/>
      <c r="F71" t="inlineStr">
        <is>
          <t>-</t>
        </is>
      </c>
      <c r="G71" t="inlineStr"/>
    </row>
    <row r="72">
      <c r="A72" t="inlineStr">
        <is>
          <t>WMT</t>
        </is>
      </c>
      <c r="B72" t="inlineStr">
        <is>
          <t>Walmart Inc</t>
        </is>
      </c>
      <c r="C72" t="inlineStr"/>
      <c r="D72" t="n">
        <v>0.3317</v>
      </c>
      <c r="E72" t="inlineStr"/>
      <c r="F72" t="inlineStr">
        <is>
          <t>-</t>
        </is>
      </c>
      <c r="G72" t="inlineStr"/>
    </row>
    <row r="73">
      <c r="A73" t="inlineStr">
        <is>
          <t>XEL</t>
        </is>
      </c>
      <c r="B73" t="inlineStr">
        <is>
          <t>Xcel Energy Inc</t>
        </is>
      </c>
      <c r="C73" t="inlineStr"/>
      <c r="D73" t="n">
        <v>0.1981</v>
      </c>
      <c r="E73" t="inlineStr"/>
      <c r="F73" t="inlineStr">
        <is>
          <t>-</t>
        </is>
      </c>
      <c r="G73" t="inlineStr"/>
    </row>
    <row r="74">
      <c r="A74" t="inlineStr">
        <is>
          <t>XLE</t>
        </is>
      </c>
      <c r="B74" t="inlineStr">
        <is>
          <t>Energy ETF</t>
        </is>
      </c>
      <c r="C74" t="inlineStr"/>
      <c r="D74" t="n">
        <v>0.3676</v>
      </c>
      <c r="E74" t="inlineStr"/>
      <c r="F74" t="inlineStr">
        <is>
          <t>-</t>
        </is>
      </c>
      <c r="G74" t="inlineStr"/>
    </row>
    <row r="75">
      <c r="A75" t="inlineStr">
        <is>
          <t>XLI</t>
        </is>
      </c>
      <c r="B75" t="inlineStr">
        <is>
          <t>Industrials ETF</t>
        </is>
      </c>
      <c r="C75" t="inlineStr"/>
      <c r="D75" t="n">
        <v>0.7352</v>
      </c>
      <c r="E75" t="inlineStr"/>
      <c r="F75" t="inlineStr">
        <is>
          <t>-</t>
        </is>
      </c>
      <c r="G75" t="inlineStr"/>
    </row>
    <row r="76">
      <c r="A76" t="inlineStr">
        <is>
          <t>XLU</t>
        </is>
      </c>
      <c r="B76" t="inlineStr">
        <is>
          <t>Utilities ETF</t>
        </is>
      </c>
      <c r="C76" t="inlineStr"/>
      <c r="D76" t="n">
        <v>0.3365</v>
      </c>
      <c r="E76" t="inlineStr"/>
      <c r="F76" t="inlineStr">
        <is>
          <t>-</t>
        </is>
      </c>
      <c r="G76" t="inlineStr"/>
    </row>
    <row r="77">
      <c r="A77" t="inlineStr">
        <is>
          <t>XOM</t>
        </is>
      </c>
      <c r="B77" t="inlineStr">
        <is>
          <t>Exxon Mobil Corp</t>
        </is>
      </c>
      <c r="C77" t="inlineStr"/>
      <c r="D77" t="n">
        <v>0.1125</v>
      </c>
      <c r="E77" t="inlineStr"/>
      <c r="F77" t="inlineStr">
        <is>
          <t>-</t>
        </is>
      </c>
      <c r="G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2026-02-19T23:54:27Z</dcterms:created>
  <dcterms:modified xmlns:dcterms="http://purl.org/dc/terms/" xmlns:xsi="http://www.w3.org/2001/XMLSchema-instance" xsi:type="dcterms:W3CDTF">2026-02-19T23:54:27Z</dcterms:modified>
</cp:coreProperties>
</file>